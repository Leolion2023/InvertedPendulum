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ktplan" sheetId="1" state="visible" r:id="rId3"/>
    <sheet name="Info" sheetId="2" state="visible" r:id="rId4"/>
  </sheets>
  <definedNames>
    <definedName function="false" hidden="false" localSheetId="0" name="_xlnm.Print_Titles" vbProcedure="false">Projektplan!$5:$7</definedName>
    <definedName function="false" hidden="false" name="Anzeigewoche" vbProcedure="false">Projektplan!$E$5</definedName>
    <definedName function="false" hidden="false" name="Projektanfang" vbProcedure="false">Projektplan!$E$4</definedName>
    <definedName function="false" hidden="false" localSheetId="0" name="Heute" vbProcedure="false">TODAY()</definedName>
    <definedName function="false" hidden="false" localSheetId="0" name="task_end" vbProcedure="false">Projektplan!$F1</definedName>
    <definedName function="false" hidden="false" localSheetId="0" name="task_progress" vbProcedure="false">Projektplan!$D1</definedName>
    <definedName function="false" hidden="false" localSheetId="0" name="task_start" vbProcedure="false">Projektplan!$E1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<sst xmlns="http://schemas.openxmlformats.org/spreadsheetml/2006/main" count="87" uniqueCount="72">
  <si>
    <t xml:space="preserve">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</si>
  <si>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 xml:space="preserve">InvertedPendulum</t>
  </si>
  <si>
    <t xml:space="preserve">Geben Sie den Firmennamen in Zelle B2 ein.</t>
  </si>
  <si>
    <t xml:space="preserve">NwT HSG </t>
  </si>
  <si>
    <t xml:space="preserve">Projektteam</t>
  </si>
  <si>
    <t xml:space="preserve">Leonard</t>
  </si>
  <si>
    <t xml:space="preserve">Attila</t>
  </si>
  <si>
    <t xml:space="preserve">Geben Sie den Namen des Projektleiters in Zelle B3 ein. Geben Sie das Startdatum für das Projekt in Zelle E3 ein. Start des Projekts: Die Bezeichnung steht in Zelle C3.</t>
  </si>
  <si>
    <t xml:space="preserve">Projektanfang:</t>
  </si>
  <si>
    <t xml:space="preserve">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</si>
  <si>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 xml:space="preserve">Anzeigewoche:</t>
  </si>
  <si>
    <t xml:space="preserve">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</si>
  <si>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 xml:space="preserve">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</si>
  <si>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 xml:space="preserve">AUFGABE</t>
  </si>
  <si>
    <t xml:space="preserve">ZUGEWIESEN
AN</t>
  </si>
  <si>
    <t xml:space="preserve">FORTSCHRITT</t>
  </si>
  <si>
    <t xml:space="preserve">START</t>
  </si>
  <si>
    <t xml:space="preserve">ENDE</t>
  </si>
  <si>
    <t xml:space="preserve">TAGE</t>
  </si>
  <si>
    <t xml:space="preserve">Löschen Sie diese Zeile nicht. Diese Zeile ist ausgeblendet, um eine Formel zu schützen, die zum Hervorheben des aktuellen Tags im Projektzeitplan verwendet wird. </t>
  </si>
  <si>
    <t xml:space="preserve">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</si>
  <si>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 xml:space="preserve">Konstruktion</t>
  </si>
  <si>
    <t xml:space="preserve">Zelle B9 enthält die Beispielaufgabe „Aufgabe 1“. 
Geben Sie einen neuen Aufgabennamen in Zelle B9 ein.
Geben Sie in Zelle C9 eine Person ein, der die Aufgabe zugewiesen werden soll.
Geben Sie in Zelle D9 den Fortschritt der Aufgabe ein. In der Zelle wird eine Statusanzeige angezeigt, die entsprechend der in der Zelle eingegebenen Zahl schattiert wird. Bei einem Fortschritt von 50 % wäre beispielsweise die Hälfte der Zelle schattiert.
Geben Sie das Anfangsdatum der Aufgabe in Zelle E9 ein.
Geben Sie das Enddatum der Aufgabe in Zelle F9 ein.
Von Zelle I9 bis Zelle BL9 wird eine Statusleiste mit einer entsprechenden Schattierung für die eingegebenen Datumsangaben in Blöcken angezeigt. </t>
  </si>
  <si>
    <t xml:space="preserve">Bauplan erstellen</t>
  </si>
  <si>
    <t xml:space="preserve">→ Extrusionszeichnung erstellen</t>
  </si>
  <si>
    <t xml:space="preserve">→ Dreitafelansicht erstellen</t>
  </si>
  <si>
    <t xml:space="preserve">→ Bemaßungen hinzufügen</t>
  </si>
  <si>
    <t xml:space="preserve">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</si>
  <si>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 xml:space="preserve">Strukturmodell designen</t>
  </si>
  <si>
    <t xml:space="preserve">→ Untergestell</t>
  </si>
  <si>
    <t xml:space="preserve">→ Obergestell</t>
  </si>
  <si>
    <t xml:space="preserve">→ Platinenhalterung</t>
  </si>
  <si>
    <t xml:space="preserve">→ Motorhalterung</t>
  </si>
  <si>
    <t xml:space="preserve">Slidersystem entwickeln</t>
  </si>
  <si>
    <t xml:space="preserve">Abhängigkeiten vorbereiten</t>
  </si>
  <si>
    <t xml:space="preserve">→Motor designen</t>
  </si>
  <si>
    <t xml:space="preserve">→Platine designen</t>
  </si>
  <si>
    <t xml:space="preserve">Aufgabe 5</t>
  </si>
  <si>
    <t xml:space="preserve">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</si>
  <si>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 xml:space="preserve">Code</t>
  </si>
  <si>
    <t xml:space="preserve">PID Rechnung</t>
  </si>
  <si>
    <t xml:space="preserve">Motoren einbinden</t>
  </si>
  <si>
    <t xml:space="preserve">BNO055 einbinden</t>
  </si>
  <si>
    <t xml:space="preserve">Code kommentieren</t>
  </si>
  <si>
    <t xml:space="preserve">Code ausprobieren</t>
  </si>
  <si>
    <t xml:space="preserve">Titelblock für Beispielphase</t>
  </si>
  <si>
    <t xml:space="preserve">Schaltkreis</t>
  </si>
  <si>
    <t xml:space="preserve">Schaltplan entwickeln</t>
  </si>
  <si>
    <t xml:space="preserve">BNO055 anschließen</t>
  </si>
  <si>
    <t xml:space="preserve">Motoren anschließen</t>
  </si>
  <si>
    <t xml:space="preserve">Alles zusammenschließen</t>
  </si>
  <si>
    <t xml:space="preserve">Vorbereitung Code/Schaltplan</t>
  </si>
  <si>
    <t xml:space="preserve">Regelkreisschema</t>
  </si>
  <si>
    <t xml:space="preserve">Programmablaufplan</t>
  </si>
  <si>
    <t xml:space="preserve">Dies ist eine leere Zeile.</t>
  </si>
  <si>
    <t xml:space="preserve">Diese Zeile kennzeichnet das Ende des Projektplans. Geben Sie in dieser Zeile NICHTS EIN. 
Fügen Sie ÜBER dieser Zeile neue Zeilen ein, um mit der Erstellung Ihres Projektplans fortzufahren.</t>
  </si>
  <si>
    <t xml:space="preserve">Neue Zeilen ÜBER dieser einfügen</t>
  </si>
  <si>
    <t xml:space="preserve">EINFACHES GANTT-DIAGRAMM von Vertex42.com</t>
  </si>
  <si>
    <t xml:space="preserve">https://www.vertex42.com/ExcelTemplates/simple-gantt-chart.html</t>
  </si>
  <si>
    <t xml:space="preserve">Über diese Vorlage</t>
  </si>
  <si>
    <t xml:space="preserve">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</si>
  <si>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 xml:space="preserve">Leitfaden für die Sprachausgabe</t>
  </si>
  <si>
    <t xml:space="preserve">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</si>
  <si>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 xml:space="preserve">Weitere Hilfe</t>
  </si>
  <si>
    <t xml:space="preserve">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</si>
  <si>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 xml:space="preserve">Verwenden des einfachen Gantt-Diagramms</t>
  </si>
  <si>
    <t xml:space="preserve">Weitere Projektmanagementvorlagen</t>
  </si>
  <si>
    <t xml:space="preserve">Rufen Sie Vertex42.com auf, um weitere Projektmanagementvorlagen herunterzuladen, einschließlich unterschiedlicher Typen von Projektplänen, Gantt-Diagramme, Aufgabenlisten usw.</t>
  </si>
  <si>
    <t xml:space="preserve">Projektmanagementvorlagen</t>
  </si>
  <si>
    <t xml:space="preserve">Informationen zu Vertex42</t>
  </si>
  <si>
    <t xml:space="preserve">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</si>
  <si>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 xml:space="preserve">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</si>
</sst>
</file>

<file path=xl/styles.xml><?xml version="1.0" encoding="utf-8"?>
<styleSheet xmlns="http://schemas.openxmlformats.org/spreadsheetml/2006/main">
  <numFmts count="6">
    <numFmt numFmtId="164" formatCode="General"/>
    <numFmt numFmtId="165" formatCode="d/m/yy;@"/>
    <numFmt numFmtId="166" formatCode="ddd&quot;, &quot;d/m/yyyy"/>
    <numFmt numFmtId="167" formatCode="d/\ mmm\ yyyy"/>
    <numFmt numFmtId="168" formatCode="d"/>
    <numFmt numFmtId="169" formatCode="0\ %"/>
  </numFmts>
  <fonts count="29">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b val="true"/>
      <sz val="22"/>
      <color theme="1" tint="0.3499"/>
      <name val="Calibri"/>
      <family val="2"/>
      <charset val="1"/>
    </font>
    <font>
      <b val="true"/>
      <sz val="20"/>
      <color theme="4" tint="-0.25"/>
      <name val="Calibri"/>
      <family val="2"/>
      <charset val="1"/>
    </font>
    <font>
      <sz val="10"/>
      <name val="Calibri"/>
      <family val="2"/>
      <charset val="1"/>
    </font>
    <font>
      <b val="true"/>
      <sz val="11"/>
      <color rgb="FF0000FF"/>
      <name val="Calibri"/>
      <family val="2"/>
      <charset val="1"/>
    </font>
    <font>
      <sz val="14"/>
      <color theme="1"/>
      <name val="Calibri"/>
      <family val="2"/>
      <charset val="1"/>
    </font>
    <font>
      <u val="single"/>
      <sz val="11"/>
      <color rgb="FF0000FF"/>
      <name val="Arial"/>
      <family val="2"/>
      <charset val="1"/>
    </font>
    <font>
      <sz val="10"/>
      <color rgb="FF0000FF"/>
      <name val="Arial"/>
      <family val="2"/>
      <charset val="1"/>
    </font>
    <font>
      <sz val="9"/>
      <name val="Calibri"/>
      <family val="2"/>
      <charset val="1"/>
    </font>
    <font>
      <b val="true"/>
      <sz val="9"/>
      <color theme="0"/>
      <name val="Calibri"/>
      <family val="2"/>
      <charset val="1"/>
    </font>
    <font>
      <sz val="8"/>
      <color theme="0"/>
      <name val="Calibri"/>
      <family val="2"/>
      <charset val="1"/>
    </font>
    <font>
      <b val="true"/>
      <sz val="11"/>
      <color theme="1"/>
      <name val="Calibri"/>
      <family val="2"/>
      <charset val="1"/>
    </font>
    <font>
      <sz val="11"/>
      <name val="Calibri"/>
      <family val="2"/>
      <charset val="1"/>
    </font>
    <font>
      <sz val="11"/>
      <color theme="1"/>
      <name val="Calibri"/>
      <family val="2"/>
    </font>
    <font>
      <i val="true"/>
      <sz val="9"/>
      <color theme="1"/>
      <name val="Calibri"/>
      <family val="2"/>
      <charset val="1"/>
    </font>
    <font>
      <sz val="10"/>
      <color theme="1" tint="0.4999"/>
      <name val="Calibri"/>
      <family val="2"/>
      <charset val="1"/>
    </font>
    <font>
      <b val="true"/>
      <sz val="11"/>
      <color theme="1" tint="0.4999"/>
      <name val="Calibri"/>
      <family val="2"/>
      <charset val="1"/>
    </font>
    <font>
      <sz val="10"/>
      <color theme="1" tint="0.4999"/>
      <name val="Arial"/>
      <family val="2"/>
      <charset val="1"/>
    </font>
    <font>
      <b val="true"/>
      <sz val="12"/>
      <color theme="1" tint="0.3499"/>
      <name val="Calibri"/>
      <family val="2"/>
      <charset val="1"/>
    </font>
    <font>
      <b val="true"/>
      <sz val="10"/>
      <name val="Calibri"/>
      <family val="2"/>
      <charset val="1"/>
    </font>
    <font>
      <sz val="11"/>
      <color rgb="FF0000FF"/>
      <name val="Calibri"/>
      <family val="2"/>
      <charset val="1"/>
    </font>
    <font>
      <sz val="11"/>
      <color theme="1" tint="0.4999"/>
      <name val="Calibri"/>
      <family val="2"/>
      <charset val="1"/>
    </font>
    <font>
      <b val="true"/>
      <sz val="16"/>
      <color theme="4" tint="-0.25"/>
      <name val="Calibri"/>
      <family val="2"/>
      <charset val="1"/>
    </font>
    <font>
      <sz val="20"/>
      <name val="Calibri"/>
      <family val="2"/>
      <charset val="1"/>
    </font>
    <font>
      <sz val="11"/>
      <color rgb="FF1D2129"/>
      <name val="Calibri"/>
      <family val="2"/>
      <charset val="1"/>
    </font>
  </fonts>
  <fills count="17">
    <fill>
      <patternFill patternType="none"/>
    </fill>
    <fill>
      <patternFill patternType="gray125"/>
    </fill>
    <fill>
      <patternFill patternType="solid">
        <fgColor theme="5" tint="0.7999"/>
        <bgColor rgb="FFE6E0EC"/>
      </patternFill>
    </fill>
    <fill>
      <patternFill patternType="solid">
        <fgColor rgb="FF729FCF"/>
        <bgColor rgb="FFA6A6A6"/>
      </patternFill>
    </fill>
    <fill>
      <patternFill patternType="solid">
        <fgColor theme="8" tint="0.7999"/>
        <bgColor rgb="FFDAEEF3"/>
      </patternFill>
    </fill>
    <fill>
      <patternFill patternType="solid">
        <fgColor theme="0" tint="-0.15"/>
        <bgColor rgb="FFE6E0EC"/>
      </patternFill>
    </fill>
    <fill>
      <patternFill patternType="solid">
        <fgColor theme="1" tint="0.3499"/>
        <bgColor rgb="FF376092"/>
      </patternFill>
    </fill>
    <fill>
      <patternFill patternType="solid">
        <fgColor theme="4" tint="0.5999"/>
        <bgColor rgb="FFCCC1DA"/>
      </patternFill>
    </fill>
    <fill>
      <patternFill patternType="solid">
        <fgColor theme="4" tint="0.7999"/>
        <bgColor rgb="FFDBEEF4"/>
      </patternFill>
    </fill>
    <fill>
      <patternFill patternType="solid">
        <fgColor theme="5" tint="0.5999"/>
        <bgColor rgb="FFCCC1DA"/>
      </patternFill>
    </fill>
    <fill>
      <patternFill patternType="solid">
        <fgColor rgb="FF81D41A"/>
        <bgColor rgb="FF77933C"/>
      </patternFill>
    </fill>
    <fill>
      <patternFill patternType="solid">
        <fgColor rgb="FFFFFFFF"/>
        <bgColor rgb="FFF2F2F2"/>
      </patternFill>
    </fill>
    <fill>
      <patternFill patternType="solid">
        <fgColor theme="6" tint="0.5999"/>
        <bgColor rgb="FFD9D9D9"/>
      </patternFill>
    </fill>
    <fill>
      <patternFill patternType="solid">
        <fgColor theme="6" tint="0.7999"/>
        <bgColor rgb="FFF2F2F2"/>
      </patternFill>
    </fill>
    <fill>
      <patternFill patternType="solid">
        <fgColor theme="7" tint="0.5999"/>
        <bgColor rgb="FFB9CDE5"/>
      </patternFill>
    </fill>
    <fill>
      <patternFill patternType="solid">
        <fgColor theme="7" tint="0.7999"/>
        <bgColor rgb="FFDCE6F2"/>
      </patternFill>
    </fill>
    <fill>
      <patternFill patternType="solid">
        <fgColor theme="0" tint="-0.05"/>
        <bgColor rgb="FFEBF1DE"/>
      </patternFill>
    </fill>
  </fills>
  <borders count="10">
    <border diagonalUp="false" diagonalDown="false">
      <left/>
      <right/>
      <top/>
      <bottom/>
      <diagonal/>
    </border>
    <border diagonalUp="false" diagonalDown="false">
      <left/>
      <right/>
      <top style="medium">
        <color theme="0" tint="-0.15"/>
      </top>
      <bottom style="medium">
        <color theme="0" tint="-0.1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right style="thin">
        <color theme="0" tint="-0.35"/>
      </right>
      <top/>
      <bottom/>
      <diagonal/>
    </border>
    <border diagonalUp="false" diagonalDown="false">
      <left style="thin">
        <color theme="0" tint="-0.35"/>
      </left>
      <right style="thin">
        <color theme="0" tint="-0.35"/>
      </right>
      <top style="thin">
        <color theme="0" tint="-0.35"/>
      </top>
      <bottom/>
      <diagonal/>
    </border>
    <border diagonalUp="false" diagonalDown="false">
      <left/>
      <right/>
      <top/>
      <bottom style="thin">
        <color theme="0" tint="-0.35"/>
      </bottom>
      <diagonal/>
    </border>
    <border diagonalUp="false" diagonalDown="false">
      <left style="thin">
        <color theme="0" tint="-0.35"/>
      </left>
      <right/>
      <top/>
      <bottom/>
      <diagonal/>
    </border>
    <border diagonalUp="false" diagonalDown="false">
      <left/>
      <right/>
      <top style="thin">
        <color theme="0" tint="-0.35"/>
      </top>
      <bottom/>
      <diagonal/>
    </border>
    <border diagonalUp="false" diagonalDown="false">
      <left style="thin">
        <color theme="0" tint="-0.35"/>
      </left>
      <right style="thin">
        <color theme="0" tint="-0.35"/>
      </right>
      <top/>
      <bottom style="medium">
        <color theme="0" tint="-0.15"/>
      </bottom>
      <diagonal/>
    </border>
    <border diagonalUp="false" diagonalDown="false">
      <left style="thin">
        <color theme="0" tint="-0.15"/>
      </left>
      <right style="thin">
        <color theme="0" tint="-0.15"/>
      </right>
      <top style="medium">
        <color theme="0" tint="-0.15"/>
      </top>
      <bottom style="medium">
        <color theme="0" tint="-0.15"/>
      </bottom>
      <diagonal/>
    </border>
  </borders>
  <cellStyleXfs count="3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0" fillId="0" borderId="1" applyFont="true" applyBorder="true" applyAlignment="true" applyProtection="true">
      <alignment horizontal="left" vertical="center" textRotation="0" wrapText="false" indent="2" shrinkToFit="false"/>
      <protection locked="true" hidden="false"/>
    </xf>
    <xf numFmtId="165" fontId="0" fillId="0" borderId="1" applyFont="true" applyBorder="true" applyAlignment="true" applyProtection="true">
      <alignment horizontal="center" vertical="center" textRotation="0" wrapText="false" indent="0" shrinkToFit="false"/>
      <protection locked="true" hidden="false"/>
    </xf>
    <xf numFmtId="164" fontId="0" fillId="0" borderId="1" applyFont="true" applyBorder="true" applyAlignment="true" applyProtection="true">
      <alignment horizontal="center" vertical="center" textRotation="0" wrapText="false" indent="0" shrinkToFit="false"/>
      <protection locked="true" hidden="false"/>
    </xf>
    <xf numFmtId="166" fontId="0" fillId="0" borderId="2" applyFont="true" applyBorder="true" applyAlignment="true" applyProtection="true">
      <alignment horizontal="center"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9" fillId="0" borderId="0" applyFont="true" applyBorder="true" applyAlignment="true" applyProtection="false">
      <alignment horizontal="general" vertical="bottom" textRotation="0" wrapText="false" indent="0" shrinkToFit="false"/>
    </xf>
    <xf numFmtId="164" fontId="9" fillId="0" borderId="0" applyFont="true" applyBorder="true" applyAlignment="true" applyProtection="false">
      <alignment horizontal="general" vertical="top" textRotation="0" wrapText="false" indent="0" shrinkToFit="false"/>
    </xf>
    <xf numFmtId="164" fontId="0" fillId="0" borderId="0" applyFont="true" applyBorder="true" applyAlignment="true" applyProtection="false">
      <alignment horizontal="right" vertical="bottom" textRotation="0" wrapText="false" indent="1" shrinkToFit="false"/>
    </xf>
  </cellStyleXfs>
  <cellXfs count="10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5"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25" applyFont="true" applyBorder="false" applyAlignment="true" applyProtection="true">
      <alignment horizontal="general" vertical="bottom" textRotation="0" wrapText="true" indent="0" shrinkToFit="false"/>
      <protection locked="true" hidden="false"/>
    </xf>
    <xf numFmtId="164" fontId="5" fillId="0" borderId="0" xfId="26" applyFont="true" applyBorder="tru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27" applyFont="true" applyBorder="false" applyAlignment="true" applyProtection="true">
      <alignment horizontal="general" vertical="bottom" textRotation="0" wrapText="false" indent="0" shrinkToFit="false"/>
      <protection locked="true" hidden="false"/>
    </xf>
    <xf numFmtId="164" fontId="11" fillId="0" borderId="0" xfId="20" applyFont="true" applyBorder="true" applyAlignment="true" applyProtection="true">
      <alignment horizontal="general" vertical="top" textRotation="0" wrapText="false" indent="0" shrinkToFit="false"/>
      <protection locked="true" hidden="false"/>
    </xf>
    <xf numFmtId="164" fontId="9" fillId="0" borderId="0" xfId="28" applyFont="true" applyBorder="false" applyAlignment="true" applyProtection="true">
      <alignment horizontal="general" vertical="top"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center" vertical="bottom" textRotation="0" wrapText="false" indent="0" shrinkToFit="false"/>
      <protection locked="true" hidden="false"/>
    </xf>
    <xf numFmtId="164" fontId="0" fillId="0" borderId="3" xfId="29" applyFont="true" applyBorder="true" applyAlignment="true" applyProtection="true">
      <alignment horizontal="right" vertical="bottom" textRotation="0" wrapText="false" indent="1" shrinkToFit="false"/>
      <protection locked="true" hidden="false"/>
    </xf>
    <xf numFmtId="166" fontId="0" fillId="0" borderId="2" xfId="24"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7" fontId="0" fillId="5" borderId="4" xfId="0" applyFont="false" applyBorder="true" applyAlignment="true" applyProtection="true">
      <alignment horizontal="left" vertical="center" textRotation="0" wrapText="true" indent="1"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8" fontId="12" fillId="5" borderId="6" xfId="0" applyFont="true" applyBorder="true" applyAlignment="true" applyProtection="true">
      <alignment horizontal="center" vertical="center" textRotation="0" wrapText="false" indent="0" shrinkToFit="false"/>
      <protection locked="true" hidden="false"/>
    </xf>
    <xf numFmtId="168" fontId="12" fillId="5" borderId="0" xfId="0" applyFont="true" applyBorder="false" applyAlignment="true" applyProtection="true">
      <alignment horizontal="center" vertical="center" textRotation="0" wrapText="false" indent="0" shrinkToFit="false"/>
      <protection locked="true" hidden="false"/>
    </xf>
    <xf numFmtId="168" fontId="12" fillId="5" borderId="3" xfId="0" applyFont="true" applyBorder="true" applyAlignment="true" applyProtection="true">
      <alignment horizontal="center" vertical="center" textRotation="0" wrapText="false" indent="0" shrinkToFit="false"/>
      <protection locked="true" hidden="false"/>
    </xf>
    <xf numFmtId="164" fontId="13" fillId="6" borderId="7" xfId="0" applyFont="true" applyBorder="true" applyAlignment="true" applyProtection="true">
      <alignment horizontal="left" vertical="center" textRotation="0" wrapText="false" indent="1" shrinkToFit="false"/>
      <protection locked="true" hidden="false"/>
    </xf>
    <xf numFmtId="164" fontId="13" fillId="6" borderId="7" xfId="0" applyFont="true" applyBorder="true" applyAlignment="true" applyProtection="true">
      <alignment horizontal="center" vertical="center" textRotation="0" wrapText="true" indent="0" shrinkToFit="false"/>
      <protection locked="true" hidden="false"/>
    </xf>
    <xf numFmtId="164" fontId="14" fillId="6" borderId="8"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9" xfId="0" applyFont="false" applyBorder="true" applyAlignment="true" applyProtection="true">
      <alignment horizontal="general" vertical="center" textRotation="0" wrapText="false" indent="0" shrinkToFit="false"/>
      <protection locked="true" hidden="false"/>
    </xf>
    <xf numFmtId="164" fontId="15" fillId="7" borderId="1" xfId="0" applyFont="true" applyBorder="true" applyAlignment="true" applyProtection="true">
      <alignment horizontal="left" vertical="center" textRotation="0" wrapText="false" indent="1" shrinkToFit="false"/>
      <protection locked="true" hidden="false"/>
    </xf>
    <xf numFmtId="164" fontId="0" fillId="7" borderId="1" xfId="23" applyFont="true" applyBorder="true" applyAlignment="true" applyProtection="true">
      <alignment horizontal="center" vertical="center" textRotation="0" wrapText="false" indent="0" shrinkToFit="false"/>
      <protection locked="true" hidden="false"/>
    </xf>
    <xf numFmtId="169" fontId="16" fillId="7" borderId="1" xfId="19" applyFont="true" applyBorder="true" applyAlignment="true" applyProtection="true">
      <alignment horizontal="center" vertical="center" textRotation="0" wrapText="false" indent="0" shrinkToFit="false"/>
      <protection locked="true" hidden="false"/>
    </xf>
    <xf numFmtId="165" fontId="0" fillId="7" borderId="1" xfId="0" applyFont="false" applyBorder="true" applyAlignment="true" applyProtection="true">
      <alignment horizontal="center" vertical="center" textRotation="0" wrapText="false" indent="0" shrinkToFit="false"/>
      <protection locked="true" hidden="false"/>
    </xf>
    <xf numFmtId="165" fontId="16" fillId="7" borderId="1" xfId="0" applyFont="true" applyBorder="true" applyAlignment="true" applyProtection="true">
      <alignment horizontal="center" vertical="center" textRotation="0" wrapText="false" indent="0" shrinkToFit="false"/>
      <protection locked="true" hidden="false"/>
    </xf>
    <xf numFmtId="164" fontId="16" fillId="0"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8" borderId="1" xfId="21" applyFont="true" applyBorder="true" applyAlignment="true" applyProtection="true">
      <alignment horizontal="left" vertical="center" textRotation="0" wrapText="false" indent="2" shrinkToFit="false"/>
      <protection locked="true" hidden="false"/>
    </xf>
    <xf numFmtId="164" fontId="0" fillId="8" borderId="1" xfId="23" applyFont="true" applyBorder="true" applyAlignment="true" applyProtection="true">
      <alignment horizontal="center" vertical="center" textRotation="0" wrapText="false" indent="0" shrinkToFit="false"/>
      <protection locked="true" hidden="false"/>
    </xf>
    <xf numFmtId="169" fontId="16" fillId="8" borderId="1" xfId="19" applyFont="true" applyBorder="true" applyAlignment="true" applyProtection="true">
      <alignment horizontal="center" vertical="center" textRotation="0" wrapText="false" indent="0" shrinkToFit="false"/>
      <protection locked="true" hidden="false"/>
    </xf>
    <xf numFmtId="165" fontId="0" fillId="8" borderId="1" xfId="22" applyFont="true" applyBorder="true" applyAlignment="true" applyProtection="true">
      <alignment horizontal="center" vertical="center" textRotation="0" wrapText="false" indent="0" shrinkToFit="false"/>
      <protection locked="true" hidden="false"/>
    </xf>
    <xf numFmtId="164" fontId="0" fillId="0" borderId="9" xfId="0" applyFont="false" applyBorder="true" applyAlignment="true" applyProtection="true">
      <alignment horizontal="right" vertical="center" textRotation="0" wrapText="false" indent="0" shrinkToFit="false"/>
      <protection locked="true" hidden="false"/>
    </xf>
    <xf numFmtId="164" fontId="15" fillId="9" borderId="1" xfId="0" applyFont="true" applyBorder="true" applyAlignment="true" applyProtection="true">
      <alignment horizontal="left" vertical="center" textRotation="0" wrapText="false" indent="1" shrinkToFit="false"/>
      <protection locked="true" hidden="false"/>
    </xf>
    <xf numFmtId="164" fontId="0" fillId="9" borderId="1" xfId="23" applyFont="true" applyBorder="true" applyAlignment="true" applyProtection="true">
      <alignment horizontal="center" vertical="center" textRotation="0" wrapText="false" indent="0" shrinkToFit="false"/>
      <protection locked="true" hidden="false"/>
    </xf>
    <xf numFmtId="169" fontId="16" fillId="9" borderId="1" xfId="19" applyFont="true" applyBorder="true" applyAlignment="true" applyProtection="true">
      <alignment horizontal="center" vertical="center" textRotation="0" wrapText="false" indent="0" shrinkToFit="false"/>
      <protection locked="true" hidden="false"/>
    </xf>
    <xf numFmtId="165" fontId="0" fillId="9" borderId="1" xfId="0" applyFont="false" applyBorder="true" applyAlignment="true" applyProtection="true">
      <alignment horizontal="center" vertical="center" textRotation="0" wrapText="false" indent="0" shrinkToFit="false"/>
      <protection locked="true" hidden="false"/>
    </xf>
    <xf numFmtId="165" fontId="16" fillId="9" borderId="1" xfId="0" applyFont="true" applyBorder="true" applyAlignment="true" applyProtection="true">
      <alignment horizontal="center" vertical="center" textRotation="0" wrapText="false" indent="0" shrinkToFit="false"/>
      <protection locked="true" hidden="false"/>
    </xf>
    <xf numFmtId="164" fontId="0" fillId="2" borderId="1" xfId="21" applyFont="true" applyBorder="true" applyAlignment="true" applyProtection="true">
      <alignment horizontal="left" vertical="center" textRotation="0" wrapText="false" indent="2" shrinkToFit="false"/>
      <protection locked="true" hidden="false"/>
    </xf>
    <xf numFmtId="164" fontId="0" fillId="2" borderId="1" xfId="23" applyFont="true" applyBorder="true" applyAlignment="true" applyProtection="true">
      <alignment horizontal="center" vertical="center" textRotation="0" wrapText="false" indent="0" shrinkToFit="false"/>
      <protection locked="true" hidden="false"/>
    </xf>
    <xf numFmtId="169" fontId="16" fillId="2" borderId="1" xfId="19" applyFont="true" applyBorder="true" applyAlignment="true" applyProtection="true">
      <alignment horizontal="center" vertical="center" textRotation="0" wrapText="false" indent="0" shrinkToFit="false"/>
      <protection locked="true" hidden="false"/>
    </xf>
    <xf numFmtId="165" fontId="17" fillId="2" borderId="1" xfId="22" applyFont="true" applyBorder="true" applyAlignment="true" applyProtection="true">
      <alignment horizontal="center" vertical="center" textRotation="0" wrapText="false" indent="0" shrinkToFit="false"/>
      <protection locked="true" hidden="false"/>
    </xf>
    <xf numFmtId="164" fontId="0" fillId="10" borderId="9" xfId="0" applyFont="false" applyBorder="true" applyAlignment="true" applyProtection="true">
      <alignment horizontal="general" vertical="center" textRotation="0" wrapText="false" indent="0" shrinkToFit="false"/>
      <protection locked="true" hidden="false"/>
    </xf>
    <xf numFmtId="164" fontId="0" fillId="11" borderId="9" xfId="0" applyFont="false" applyBorder="true" applyAlignment="true" applyProtection="true">
      <alignment horizontal="general" vertical="center" textRotation="0" wrapText="false" indent="0" shrinkToFit="false"/>
      <protection locked="true" hidden="false"/>
    </xf>
    <xf numFmtId="164" fontId="17" fillId="2" borderId="1" xfId="21" applyFont="true" applyBorder="true" applyAlignment="true" applyProtection="true">
      <alignment horizontal="left" vertical="center" textRotation="0" wrapText="false" indent="2" shrinkToFit="false"/>
      <protection locked="true" hidden="false"/>
    </xf>
    <xf numFmtId="164" fontId="15" fillId="12" borderId="1" xfId="0" applyFont="true" applyBorder="true" applyAlignment="true" applyProtection="true">
      <alignment horizontal="left" vertical="center" textRotation="0" wrapText="false" indent="1" shrinkToFit="false"/>
      <protection locked="true" hidden="false"/>
    </xf>
    <xf numFmtId="164" fontId="0" fillId="12" borderId="1" xfId="23" applyFont="true" applyBorder="true" applyAlignment="true" applyProtection="true">
      <alignment horizontal="center" vertical="center" textRotation="0" wrapText="false" indent="0" shrinkToFit="false"/>
      <protection locked="true" hidden="false"/>
    </xf>
    <xf numFmtId="169" fontId="16" fillId="12" borderId="1" xfId="19" applyFont="true" applyBorder="true" applyAlignment="true" applyProtection="true">
      <alignment horizontal="center" vertical="center" textRotation="0" wrapText="false" indent="0" shrinkToFit="false"/>
      <protection locked="true" hidden="false"/>
    </xf>
    <xf numFmtId="165" fontId="0" fillId="12" borderId="1" xfId="0" applyFont="false" applyBorder="true" applyAlignment="true" applyProtection="true">
      <alignment horizontal="center" vertical="center" textRotation="0" wrapText="false" indent="0" shrinkToFit="false"/>
      <protection locked="true" hidden="false"/>
    </xf>
    <xf numFmtId="165" fontId="16" fillId="12" borderId="1" xfId="0" applyFont="true" applyBorder="true" applyAlignment="true" applyProtection="true">
      <alignment horizontal="center" vertical="center" textRotation="0" wrapText="false" indent="0" shrinkToFit="false"/>
      <protection locked="true" hidden="false"/>
    </xf>
    <xf numFmtId="164" fontId="0" fillId="13" borderId="1" xfId="21" applyFont="true" applyBorder="true" applyAlignment="true" applyProtection="true">
      <alignment horizontal="left" vertical="center" textRotation="0" wrapText="false" indent="2" shrinkToFit="false"/>
      <protection locked="true" hidden="false"/>
    </xf>
    <xf numFmtId="164" fontId="0" fillId="13" borderId="1" xfId="23" applyFont="true" applyBorder="true" applyAlignment="true" applyProtection="true">
      <alignment horizontal="center" vertical="center" textRotation="0" wrapText="false" indent="0" shrinkToFit="false"/>
      <protection locked="true" hidden="false"/>
    </xf>
    <xf numFmtId="169" fontId="16" fillId="13" borderId="1" xfId="19" applyFont="true" applyBorder="true" applyAlignment="true" applyProtection="true">
      <alignment horizontal="center" vertical="center" textRotation="0" wrapText="false" indent="0" shrinkToFit="false"/>
      <protection locked="true" hidden="false"/>
    </xf>
    <xf numFmtId="165" fontId="17" fillId="13" borderId="1" xfId="22" applyFont="true" applyBorder="true" applyAlignment="true" applyProtection="true">
      <alignment horizontal="center" vertical="center" textRotation="0" wrapText="false" indent="0" shrinkToFit="false"/>
      <protection locked="true" hidden="false"/>
    </xf>
    <xf numFmtId="165" fontId="0" fillId="13" borderId="1" xfId="22" applyFont="true" applyBorder="true" applyAlignment="true" applyProtection="true">
      <alignment horizontal="center" vertical="center" textRotation="0" wrapText="false" indent="0" shrinkToFit="false"/>
      <protection locked="true" hidden="false"/>
    </xf>
    <xf numFmtId="164" fontId="15" fillId="14" borderId="1" xfId="0" applyFont="true" applyBorder="true" applyAlignment="true" applyProtection="true">
      <alignment horizontal="left" vertical="center" textRotation="0" wrapText="false" indent="1" shrinkToFit="false"/>
      <protection locked="true" hidden="false"/>
    </xf>
    <xf numFmtId="164" fontId="0" fillId="14" borderId="1" xfId="23" applyFont="true" applyBorder="true" applyAlignment="true" applyProtection="true">
      <alignment horizontal="center" vertical="center" textRotation="0" wrapText="false" indent="0" shrinkToFit="false"/>
      <protection locked="true" hidden="false"/>
    </xf>
    <xf numFmtId="169" fontId="16" fillId="14" borderId="1" xfId="19" applyFont="true" applyBorder="true" applyAlignment="true" applyProtection="true">
      <alignment horizontal="center" vertical="center" textRotation="0" wrapText="false" indent="0" shrinkToFit="false"/>
      <protection locked="true" hidden="false"/>
    </xf>
    <xf numFmtId="165" fontId="0" fillId="14" borderId="1" xfId="0" applyFont="false" applyBorder="true" applyAlignment="true" applyProtection="true">
      <alignment horizontal="center" vertical="center" textRotation="0" wrapText="false" indent="0" shrinkToFit="false"/>
      <protection locked="true" hidden="false"/>
    </xf>
    <xf numFmtId="165" fontId="16" fillId="14" borderId="1" xfId="0" applyFont="true" applyBorder="true" applyAlignment="true" applyProtection="true">
      <alignment horizontal="center" vertical="center" textRotation="0" wrapText="false" indent="0" shrinkToFit="false"/>
      <protection locked="true" hidden="false"/>
    </xf>
    <xf numFmtId="164" fontId="0" fillId="15" borderId="1" xfId="21" applyFont="true" applyBorder="true" applyAlignment="true" applyProtection="true">
      <alignment horizontal="left" vertical="center" textRotation="0" wrapText="false" indent="2" shrinkToFit="false"/>
      <protection locked="true" hidden="false"/>
    </xf>
    <xf numFmtId="164" fontId="0" fillId="15" borderId="1" xfId="23" applyFont="true" applyBorder="true" applyAlignment="true" applyProtection="true">
      <alignment horizontal="center" vertical="center" textRotation="0" wrapText="false" indent="0" shrinkToFit="false"/>
      <protection locked="true" hidden="false"/>
    </xf>
    <xf numFmtId="169" fontId="16" fillId="15" borderId="1" xfId="19" applyFont="true" applyBorder="true" applyAlignment="true" applyProtection="true">
      <alignment horizontal="center" vertical="center" textRotation="0" wrapText="false" indent="0" shrinkToFit="false"/>
      <protection locked="true" hidden="false"/>
    </xf>
    <xf numFmtId="165" fontId="0" fillId="15" borderId="1" xfId="22" applyFont="true" applyBorder="true" applyAlignment="true" applyProtection="true">
      <alignment horizontal="center" vertical="center" textRotation="0" wrapText="false" indent="0" shrinkToFit="false"/>
      <protection locked="true" hidden="false"/>
    </xf>
    <xf numFmtId="165" fontId="17" fillId="15" borderId="1" xfId="22" applyFont="true" applyBorder="true" applyAlignment="true" applyProtection="true">
      <alignment horizontal="center" vertical="center" textRotation="0" wrapText="false" indent="0" shrinkToFit="false"/>
      <protection locked="true" hidden="false"/>
    </xf>
    <xf numFmtId="164" fontId="0" fillId="0" borderId="1" xfId="21" applyFont="true" applyBorder="true" applyAlignment="true" applyProtection="true">
      <alignment horizontal="left" vertical="center" textRotation="0" wrapText="false" indent="2" shrinkToFit="false"/>
      <protection locked="true" hidden="false"/>
    </xf>
    <xf numFmtId="164" fontId="0" fillId="0" borderId="1" xfId="23" applyFont="true" applyBorder="true" applyAlignment="true" applyProtection="true">
      <alignment horizontal="center" vertical="center" textRotation="0" wrapText="false" indent="0" shrinkToFit="false"/>
      <protection locked="true" hidden="false"/>
    </xf>
    <xf numFmtId="169" fontId="16" fillId="0" borderId="1" xfId="19" applyFont="true" applyBorder="true" applyAlignment="true" applyProtection="true">
      <alignment horizontal="center" vertical="center" textRotation="0" wrapText="false" indent="0" shrinkToFit="false"/>
      <protection locked="true" hidden="false"/>
    </xf>
    <xf numFmtId="165" fontId="0" fillId="0" borderId="1" xfId="22" applyFont="true" applyBorder="true" applyAlignment="true" applyProtection="true">
      <alignment horizontal="center" vertical="center" textRotation="0" wrapText="false" indent="0" shrinkToFit="false"/>
      <protection locked="true" hidden="false"/>
    </xf>
    <xf numFmtId="164" fontId="18" fillId="16" borderId="1" xfId="0" applyFont="true" applyBorder="true" applyAlignment="true" applyProtection="true">
      <alignment horizontal="left" vertical="center" textRotation="0" wrapText="false" indent="1" shrinkToFit="false"/>
      <protection locked="true" hidden="false"/>
    </xf>
    <xf numFmtId="164" fontId="18" fillId="16" borderId="1" xfId="0" applyFont="true" applyBorder="true" applyAlignment="true" applyProtection="true">
      <alignment horizontal="center" vertical="center" textRotation="0" wrapText="false" indent="0" shrinkToFit="false"/>
      <protection locked="true" hidden="false"/>
    </xf>
    <xf numFmtId="169" fontId="16" fillId="16" borderId="1" xfId="19" applyFont="true" applyBorder="true" applyAlignment="true" applyProtection="true">
      <alignment horizontal="center" vertical="center" textRotation="0" wrapText="false" indent="0" shrinkToFit="false"/>
      <protection locked="true" hidden="false"/>
    </xf>
    <xf numFmtId="165" fontId="19" fillId="16" borderId="1" xfId="0" applyFont="true" applyBorder="true" applyAlignment="true" applyProtection="true">
      <alignment horizontal="left" vertical="center" textRotation="0" wrapText="false" indent="0" shrinkToFit="false"/>
      <protection locked="true" hidden="false"/>
    </xf>
    <xf numFmtId="165" fontId="16" fillId="16" borderId="1" xfId="0" applyFont="true" applyBorder="true" applyAlignment="true" applyProtection="true">
      <alignment horizontal="center" vertical="center" textRotation="0" wrapText="false" indent="0" shrinkToFit="false"/>
      <protection locked="true" hidden="false"/>
    </xf>
    <xf numFmtId="164" fontId="16" fillId="16" borderId="1" xfId="0" applyFont="true" applyBorder="true" applyAlignment="true" applyProtection="true">
      <alignment horizontal="center" vertical="center" textRotation="0" wrapText="false" indent="0" shrinkToFit="false"/>
      <protection locked="true" hidden="false"/>
    </xf>
    <xf numFmtId="164" fontId="0" fillId="16" borderId="9" xfId="0" applyFont="false" applyBorder="tru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21" fillId="0" borderId="0" xfId="2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4" fontId="22" fillId="0" borderId="0" xfId="0" applyFont="true" applyBorder="false" applyAlignment="true" applyProtection="true">
      <alignment horizontal="left" vertical="center" textRotation="0" wrapText="false" indent="0" shrinkToFit="false"/>
      <protection locked="true" hidden="false"/>
    </xf>
    <xf numFmtId="164" fontId="23" fillId="0" borderId="0" xfId="0" applyFont="true" applyBorder="false" applyAlignment="true" applyProtection="true">
      <alignment horizontal="left" vertical="center" textRotation="0" wrapText="false" indent="0" shrinkToFit="false"/>
      <protection locked="true" hidden="false"/>
    </xf>
    <xf numFmtId="164" fontId="24" fillId="0" borderId="0" xfId="0" applyFont="true" applyBorder="false" applyAlignment="true" applyProtection="true">
      <alignment horizontal="general" vertical="top" textRotation="0" wrapText="false" indent="0" shrinkToFit="false"/>
      <protection locked="true" hidden="false"/>
    </xf>
    <xf numFmtId="164" fontId="25"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general" vertical="center" textRotation="0" wrapText="fals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28" fillId="0" borderId="0" xfId="0" applyFont="true" applyBorder="false" applyAlignment="true" applyProtection="true">
      <alignment horizontal="left" vertical="top" textRotation="0" wrapText="true" indent="1"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10" fillId="0" borderId="0" xfId="20" applyFont="true" applyBorder="true" applyAlignment="true" applyProtection="true">
      <alignment horizontal="left" vertical="top" textRotation="0" wrapText="false" indent="0" shrinkToFit="false"/>
      <protection locked="true" hidden="fals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Aufgabe" xfId="21"/>
    <cellStyle name="Datum" xfId="22"/>
    <cellStyle name="Name" xfId="23"/>
    <cellStyle name="Projektanfang" xfId="24"/>
    <cellStyle name="zAusgeblText" xfId="25"/>
    <cellStyle name="Excel Built-in Title" xfId="26"/>
    <cellStyle name="Excel Built-in Heading 1" xfId="27"/>
    <cellStyle name="*unknown*" xfId="20" builtinId="8"/>
    <cellStyle name="Excel Built-in Heading 2" xfId="28"/>
    <cellStyle name="Excel Built-in Heading 3" xfId="29"/>
  </cellStyles>
  <dxfs count="9">
    <dxf>
      <fill>
        <patternFill>
          <bgColor theme="8" tint="-0.25"/>
        </patternFill>
      </fill>
    </dxf>
    <dxf>
      <fill>
        <patternFill>
          <bgColor theme="6" tint="-0.25"/>
        </patternFill>
      </fill>
    </dxf>
    <dxf>
      <fill>
        <patternFill>
          <bgColor theme="5" tint="-0.25"/>
        </patternFill>
      </fill>
    </dxf>
    <dxf>
      <fill>
        <patternFill>
          <bgColor rgb="FFDAEEF3"/>
        </patternFill>
      </fill>
    </dxf>
    <dxf>
      <fill>
        <patternFill>
          <bgColor rgb="FFEBF1DE"/>
        </patternFill>
      </fill>
    </dxf>
    <dxf>
      <fill>
        <patternFill>
          <bgColor rgb="FFF2DCDB"/>
        </patternFill>
      </fill>
    </dxf>
    <dxf>
      <fill>
        <patternFill>
          <bgColor theme="0" tint="-0.35"/>
        </patternFill>
      </fill>
    </dxf>
    <dxf>
      <fill>
        <patternFill>
          <bgColor rgb="FF7030A0"/>
        </patternFill>
      </fill>
      <border diagonalUp="false" diagonalDown="false">
        <left/>
        <right/>
        <top/>
        <bottom/>
        <diagonal/>
      </border>
    </dxf>
    <dxf>
      <border diagonalUp="false" diagonalDown="false">
        <left style="thin">
          <color rgb="FFC00000"/>
        </left>
        <right style="thin">
          <color rgb="FFC00000"/>
        </right>
        <top/>
        <bottom/>
        <diagonal/>
      </border>
    </dxf>
  </dxfs>
  <colors>
    <indexedColors>
      <rgbColor rgb="FF000000"/>
      <rgbColor rgb="FFFFFFFF"/>
      <rgbColor rgb="FFC00000"/>
      <rgbColor rgb="FF00FF00"/>
      <rgbColor rgb="FF0000FF"/>
      <rgbColor rgb="FFDCE6F2"/>
      <rgbColor rgb="FFFF00FF"/>
      <rgbColor rgb="FF00FFFF"/>
      <rgbColor rgb="FF800000"/>
      <rgbColor rgb="FF008000"/>
      <rgbColor rgb="FF000080"/>
      <rgbColor rgb="FF77933C"/>
      <rgbColor rgb="FF800080"/>
      <rgbColor rgb="FF008080"/>
      <rgbColor rgb="FFCCC1DA"/>
      <rgbColor rgb="FF7F7F7F"/>
      <rgbColor rgb="FF729FCF"/>
      <rgbColor rgb="FF953735"/>
      <rgbColor rgb="FFEBF1DE"/>
      <rgbColor rgb="FFDAEEF3"/>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BEEF4"/>
      <rgbColor rgb="FFD7E4BD"/>
      <rgbColor rgb="FFF2F2F2"/>
      <rgbColor rgb="FFD9D9D9"/>
      <rgbColor rgb="FFF2DCDB"/>
      <rgbColor rgb="FFE6E0EC"/>
      <rgbColor rgb="FFE6B9B8"/>
      <rgbColor rgb="FF3366FF"/>
      <rgbColor rgb="FF33CCCC"/>
      <rgbColor rgb="FF81D41A"/>
      <rgbColor rgb="FFFFCC00"/>
      <rgbColor rgb="FFFF9900"/>
      <rgbColor rgb="FFFF6600"/>
      <rgbColor rgb="FF595959"/>
      <rgbColor rgb="FFA6A6A6"/>
      <rgbColor rgb="FF003366"/>
      <rgbColor rgb="FF31859C"/>
      <rgbColor rgb="FF003300"/>
      <rgbColor rgb="FF333300"/>
      <rgbColor rgb="FF993300"/>
      <rgbColor rgb="FF7030A0"/>
      <rgbColor rgb="FF376092"/>
      <rgbColor rgb="FF1D21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Relationship Id="rId6" Type="http://schemas.openxmlformats.org/officeDocument/2006/relationships/customXml" Target="../customXml/item1.xml"/>
</Relationships>
</file>

<file path=xl/drawings/_rels/drawing1.xml.rels><?xml version="1.0" encoding="UTF-8"?>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logo" TargetMode="Externa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95400</xdr:rowOff>
    </xdr:from>
    <xdr:to>
      <xdr:col>0</xdr:col>
      <xdr:colOff>1903320</xdr:colOff>
      <xdr:row>0</xdr:row>
      <xdr:rowOff>522360</xdr:rowOff>
    </xdr:to>
    <xdr:pic>
      <xdr:nvPicPr>
        <xdr:cNvPr id="1" name="Bild 1" descr="Vertex42-Logo">
          <a:hlinkClick r:id="rId1"/>
        </xdr:cNvPr>
        <xdr:cNvPicPr/>
      </xdr:nvPicPr>
      <xdr:blipFill>
        <a:blip r:embed="rId2"/>
        <a:stretch/>
      </xdr:blipFill>
      <xdr:spPr>
        <a:xfrm>
          <a:off x="0" y="95400"/>
          <a:ext cx="1903320" cy="42696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2007-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url" TargetMode="External"/><Relationship Id="rId3" Type="http://schemas.openxmlformats.org/officeDocument/2006/relationships/hyperlink" Target="https://www.vertex42.com/ExcelTemplates/simple-gantt-chart.html?utm_source=ms&amp;utm_medium=file&amp;utm_campaign=office&amp;utm_content=help" TargetMode="External"/><Relationship Id="rId4"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L1048576"/>
  <sheetViews>
    <sheetView showFormulas="false" showGridLines="false" showRowColHeaders="true" showZeros="true" rightToLeft="false" tabSelected="true" showOutlineSymbols="true" defaultGridColor="true" view="normal" topLeftCell="A1" colorId="64" zoomScale="136" zoomScaleNormal="136" zoomScalePageLayoutView="100" workbookViewId="0">
      <pane xSplit="0" ySplit="7" topLeftCell="A20" activePane="bottomLeft" state="frozen"/>
      <selection pane="topLeft" activeCell="A1" activeCellId="0" sqref="A1"/>
      <selection pane="bottomLeft" activeCell="D3" activeCellId="0" sqref="D3"/>
    </sheetView>
  </sheetViews>
  <sheetFormatPr defaultColWidth="9.1484375" defaultRowHeight="30" customHeight="true" zeroHeight="false" outlineLevelRow="0" outlineLevelCol="0"/>
  <cols>
    <col collapsed="false" customWidth="true" hidden="false" outlineLevel="0" max="1" min="1" style="1" width="2.7"/>
    <col collapsed="false" customWidth="true" hidden="false" outlineLevel="0" max="2" min="2" style="2" width="32.25"/>
    <col collapsed="false" customWidth="true" hidden="false" outlineLevel="0" max="3" min="3" style="2" width="11.72"/>
    <col collapsed="false" customWidth="true" hidden="false" outlineLevel="0" max="4" min="4" style="2" width="10.71"/>
    <col collapsed="false" customWidth="true" hidden="false" outlineLevel="0" max="5" min="5" style="3" width="10.43"/>
    <col collapsed="false" customWidth="true" hidden="false" outlineLevel="0" max="6" min="6" style="2" width="10.43"/>
    <col collapsed="false" customWidth="true" hidden="false" outlineLevel="0" max="7" min="7" style="2" width="2.7"/>
    <col collapsed="false" customWidth="true" hidden="true" outlineLevel="0" max="8" min="8" style="2" width="6.14"/>
    <col collapsed="false" customWidth="true" hidden="false" outlineLevel="0" max="64" min="9" style="2" width="2.43"/>
    <col collapsed="false" customWidth="true" hidden="false" outlineLevel="0" max="70" min="69" style="2" width="10.29"/>
  </cols>
  <sheetData>
    <row r="1" customFormat="false" ht="30" hidden="false" customHeight="true" outlineLevel="0" collapsed="false">
      <c r="A1" s="4" t="s">
        <v>0</v>
      </c>
      <c r="B1" s="5" t="s">
        <v>1</v>
      </c>
      <c r="C1" s="6"/>
      <c r="D1" s="7"/>
      <c r="E1" s="8"/>
      <c r="F1" s="9"/>
      <c r="H1" s="7"/>
      <c r="I1" s="10"/>
    </row>
    <row r="2" customFormat="false" ht="30" hidden="false" customHeight="true" outlineLevel="0" collapsed="false">
      <c r="A2" s="1" t="s">
        <v>2</v>
      </c>
      <c r="B2" s="11" t="s">
        <v>3</v>
      </c>
      <c r="I2" s="12"/>
    </row>
    <row r="3" customFormat="false" ht="30" hidden="false" customHeight="true" outlineLevel="0" collapsed="false">
      <c r="B3" s="13" t="s">
        <v>4</v>
      </c>
      <c r="C3" s="14" t="s">
        <v>5</v>
      </c>
      <c r="D3" s="15" t="s">
        <v>6</v>
      </c>
      <c r="E3" s="16"/>
      <c r="I3" s="12"/>
    </row>
    <row r="4" customFormat="false" ht="30" hidden="false" customHeight="true" outlineLevel="0" collapsed="false">
      <c r="A4" s="1" t="s">
        <v>7</v>
      </c>
      <c r="C4" s="17" t="s">
        <v>8</v>
      </c>
      <c r="D4" s="17"/>
      <c r="E4" s="18" t="n">
        <v>46008</v>
      </c>
      <c r="F4" s="18"/>
    </row>
    <row r="5" customFormat="false" ht="30" hidden="false" customHeight="true" outlineLevel="0" collapsed="false">
      <c r="A5" s="4" t="s">
        <v>9</v>
      </c>
      <c r="C5" s="17" t="s">
        <v>10</v>
      </c>
      <c r="D5" s="17"/>
      <c r="E5" s="19" t="n">
        <v>8</v>
      </c>
      <c r="I5" s="20" t="n">
        <f aca="false">I6</f>
        <v>46055</v>
      </c>
      <c r="J5" s="20"/>
      <c r="K5" s="20"/>
      <c r="L5" s="20"/>
      <c r="M5" s="20"/>
      <c r="N5" s="20"/>
      <c r="O5" s="20"/>
      <c r="P5" s="20" t="n">
        <f aca="false">P6</f>
        <v>46062</v>
      </c>
      <c r="Q5" s="20"/>
      <c r="R5" s="20"/>
      <c r="S5" s="20"/>
      <c r="T5" s="20"/>
      <c r="U5" s="20"/>
      <c r="V5" s="20"/>
      <c r="W5" s="20" t="n">
        <f aca="false">W6</f>
        <v>46069</v>
      </c>
      <c r="X5" s="20"/>
      <c r="Y5" s="20"/>
      <c r="Z5" s="20"/>
      <c r="AA5" s="20"/>
      <c r="AB5" s="20"/>
      <c r="AC5" s="20"/>
      <c r="AD5" s="20" t="n">
        <f aca="false">AD6</f>
        <v>46076</v>
      </c>
      <c r="AE5" s="20"/>
      <c r="AF5" s="20"/>
      <c r="AG5" s="20"/>
      <c r="AH5" s="20"/>
      <c r="AI5" s="20"/>
      <c r="AJ5" s="20"/>
      <c r="AK5" s="20" t="n">
        <f aca="false">AK6</f>
        <v>46083</v>
      </c>
      <c r="AL5" s="20"/>
      <c r="AM5" s="20"/>
      <c r="AN5" s="20"/>
      <c r="AO5" s="20"/>
      <c r="AP5" s="20"/>
      <c r="AQ5" s="20"/>
      <c r="AR5" s="20" t="n">
        <f aca="false">AR6</f>
        <v>46090</v>
      </c>
      <c r="AS5" s="20"/>
      <c r="AT5" s="20"/>
      <c r="AU5" s="20"/>
      <c r="AV5" s="20"/>
      <c r="AW5" s="20"/>
      <c r="AX5" s="20"/>
      <c r="AY5" s="20" t="n">
        <f aca="false">AY6</f>
        <v>46097</v>
      </c>
      <c r="AZ5" s="20"/>
      <c r="BA5" s="20"/>
      <c r="BB5" s="20"/>
      <c r="BC5" s="20"/>
      <c r="BD5" s="20"/>
      <c r="BE5" s="20"/>
      <c r="BF5" s="20" t="n">
        <f aca="false">BF6</f>
        <v>46104</v>
      </c>
      <c r="BG5" s="20"/>
      <c r="BH5" s="20"/>
      <c r="BI5" s="20"/>
      <c r="BJ5" s="20"/>
      <c r="BK5" s="20"/>
      <c r="BL5" s="20"/>
    </row>
    <row r="6" customFormat="false" ht="15" hidden="false" customHeight="true" outlineLevel="0" collapsed="false">
      <c r="A6" s="4" t="s">
        <v>11</v>
      </c>
      <c r="B6" s="21"/>
      <c r="C6" s="21"/>
      <c r="D6" s="21"/>
      <c r="E6" s="21"/>
      <c r="F6" s="21"/>
      <c r="G6" s="21"/>
      <c r="I6" s="22" t="n">
        <f aca="false">Projektanfang-WEEKDAY(Projektanfang,1)+2+7*(Anzeigewoche-1)</f>
        <v>46055</v>
      </c>
      <c r="J6" s="23" t="n">
        <f aca="false">I6+1</f>
        <v>46056</v>
      </c>
      <c r="K6" s="23" t="n">
        <f aca="false">J6+1</f>
        <v>46057</v>
      </c>
      <c r="L6" s="23" t="n">
        <f aca="false">K6+1</f>
        <v>46058</v>
      </c>
      <c r="M6" s="23" t="n">
        <f aca="false">L6+1</f>
        <v>46059</v>
      </c>
      <c r="N6" s="23" t="n">
        <f aca="false">M6+1</f>
        <v>46060</v>
      </c>
      <c r="O6" s="24" t="n">
        <f aca="false">N6+1</f>
        <v>46061</v>
      </c>
      <c r="P6" s="22" t="n">
        <f aca="false">O6+1</f>
        <v>46062</v>
      </c>
      <c r="Q6" s="23" t="n">
        <f aca="false">P6+1</f>
        <v>46063</v>
      </c>
      <c r="R6" s="23" t="n">
        <f aca="false">Q6+1</f>
        <v>46064</v>
      </c>
      <c r="S6" s="23" t="n">
        <f aca="false">R6+1</f>
        <v>46065</v>
      </c>
      <c r="T6" s="23" t="n">
        <f aca="false">S6+1</f>
        <v>46066</v>
      </c>
      <c r="U6" s="23" t="n">
        <f aca="false">T6+1</f>
        <v>46067</v>
      </c>
      <c r="V6" s="24" t="n">
        <f aca="false">U6+1</f>
        <v>46068</v>
      </c>
      <c r="W6" s="22" t="n">
        <f aca="false">V6+1</f>
        <v>46069</v>
      </c>
      <c r="X6" s="23" t="n">
        <f aca="false">W6+1</f>
        <v>46070</v>
      </c>
      <c r="Y6" s="23" t="n">
        <f aca="false">X6+1</f>
        <v>46071</v>
      </c>
      <c r="Z6" s="23" t="n">
        <f aca="false">Y6+1</f>
        <v>46072</v>
      </c>
      <c r="AA6" s="23" t="n">
        <f aca="false">Z6+1</f>
        <v>46073</v>
      </c>
      <c r="AB6" s="23" t="n">
        <f aca="false">AA6+1</f>
        <v>46074</v>
      </c>
      <c r="AC6" s="24" t="n">
        <f aca="false">AB6+1</f>
        <v>46075</v>
      </c>
      <c r="AD6" s="22" t="n">
        <f aca="false">AC6+1</f>
        <v>46076</v>
      </c>
      <c r="AE6" s="23" t="n">
        <f aca="false">AD6+1</f>
        <v>46077</v>
      </c>
      <c r="AF6" s="23" t="n">
        <f aca="false">AE6+1</f>
        <v>46078</v>
      </c>
      <c r="AG6" s="23" t="n">
        <f aca="false">AF6+1</f>
        <v>46079</v>
      </c>
      <c r="AH6" s="23" t="n">
        <f aca="false">AG6+1</f>
        <v>46080</v>
      </c>
      <c r="AI6" s="23" t="n">
        <f aca="false">AH6+1</f>
        <v>46081</v>
      </c>
      <c r="AJ6" s="24" t="n">
        <f aca="false">AI6+1</f>
        <v>46082</v>
      </c>
      <c r="AK6" s="22" t="n">
        <f aca="false">AJ6+1</f>
        <v>46083</v>
      </c>
      <c r="AL6" s="23" t="n">
        <f aca="false">AK6+1</f>
        <v>46084</v>
      </c>
      <c r="AM6" s="23" t="n">
        <f aca="false">AL6+1</f>
        <v>46085</v>
      </c>
      <c r="AN6" s="23" t="n">
        <f aca="false">AM6+1</f>
        <v>46086</v>
      </c>
      <c r="AO6" s="23" t="n">
        <f aca="false">AN6+1</f>
        <v>46087</v>
      </c>
      <c r="AP6" s="23" t="n">
        <f aca="false">AO6+1</f>
        <v>46088</v>
      </c>
      <c r="AQ6" s="24" t="n">
        <f aca="false">AP6+1</f>
        <v>46089</v>
      </c>
      <c r="AR6" s="22" t="n">
        <f aca="false">AQ6+1</f>
        <v>46090</v>
      </c>
      <c r="AS6" s="23" t="n">
        <f aca="false">AR6+1</f>
        <v>46091</v>
      </c>
      <c r="AT6" s="23" t="n">
        <f aca="false">AS6+1</f>
        <v>46092</v>
      </c>
      <c r="AU6" s="23" t="n">
        <f aca="false">AT6+1</f>
        <v>46093</v>
      </c>
      <c r="AV6" s="23" t="n">
        <f aca="false">AU6+1</f>
        <v>46094</v>
      </c>
      <c r="AW6" s="23" t="n">
        <f aca="false">AV6+1</f>
        <v>46095</v>
      </c>
      <c r="AX6" s="24" t="n">
        <f aca="false">AW6+1</f>
        <v>46096</v>
      </c>
      <c r="AY6" s="22" t="n">
        <f aca="false">AX6+1</f>
        <v>46097</v>
      </c>
      <c r="AZ6" s="23" t="n">
        <f aca="false">AY6+1</f>
        <v>46098</v>
      </c>
      <c r="BA6" s="23" t="n">
        <f aca="false">AZ6+1</f>
        <v>46099</v>
      </c>
      <c r="BB6" s="23" t="n">
        <f aca="false">BA6+1</f>
        <v>46100</v>
      </c>
      <c r="BC6" s="23" t="n">
        <f aca="false">BB6+1</f>
        <v>46101</v>
      </c>
      <c r="BD6" s="23" t="n">
        <f aca="false">BC6+1</f>
        <v>46102</v>
      </c>
      <c r="BE6" s="24" t="n">
        <f aca="false">BD6+1</f>
        <v>46103</v>
      </c>
      <c r="BF6" s="22" t="n">
        <f aca="false">BE6+1</f>
        <v>46104</v>
      </c>
      <c r="BG6" s="23" t="n">
        <f aca="false">BF6+1</f>
        <v>46105</v>
      </c>
      <c r="BH6" s="23" t="n">
        <f aca="false">BG6+1</f>
        <v>46106</v>
      </c>
      <c r="BI6" s="23" t="n">
        <f aca="false">BH6+1</f>
        <v>46107</v>
      </c>
      <c r="BJ6" s="23" t="n">
        <f aca="false">BI6+1</f>
        <v>46108</v>
      </c>
      <c r="BK6" s="23" t="n">
        <f aca="false">BJ6+1</f>
        <v>46109</v>
      </c>
      <c r="BL6" s="24" t="n">
        <f aca="false">BK6+1</f>
        <v>46110</v>
      </c>
    </row>
    <row r="7" customFormat="false" ht="30" hidden="false" customHeight="true" outlineLevel="0" collapsed="false">
      <c r="A7" s="4" t="s">
        <v>12</v>
      </c>
      <c r="B7" s="25" t="s">
        <v>13</v>
      </c>
      <c r="C7" s="26" t="s">
        <v>14</v>
      </c>
      <c r="D7" s="26" t="s">
        <v>15</v>
      </c>
      <c r="E7" s="26" t="s">
        <v>16</v>
      </c>
      <c r="F7" s="26" t="s">
        <v>17</v>
      </c>
      <c r="G7" s="26"/>
      <c r="H7" s="26" t="s">
        <v>18</v>
      </c>
      <c r="I7" s="27" t="str">
        <f aca="false">LEFT(TEXT(I6,"TTTT"),1)</f>
        <v>M</v>
      </c>
      <c r="J7" s="27" t="str">
        <f aca="false">LEFT(TEXT(J6,"TTTT"),1)</f>
        <v>D</v>
      </c>
      <c r="K7" s="27" t="str">
        <f aca="false">LEFT(TEXT(K6,"TTTT"),1)</f>
        <v>M</v>
      </c>
      <c r="L7" s="27" t="str">
        <f aca="false">LEFT(TEXT(L6,"TTTT"),1)</f>
        <v>D</v>
      </c>
      <c r="M7" s="27" t="str">
        <f aca="false">LEFT(TEXT(M6,"TTTT"),1)</f>
        <v>F</v>
      </c>
      <c r="N7" s="27" t="str">
        <f aca="false">LEFT(TEXT(N6,"TTTT"),1)</f>
        <v>S</v>
      </c>
      <c r="O7" s="27" t="str">
        <f aca="false">LEFT(TEXT(O6,"TTTT"),1)</f>
        <v>S</v>
      </c>
      <c r="P7" s="27" t="str">
        <f aca="false">LEFT(TEXT(P6,"TTTT"),1)</f>
        <v>M</v>
      </c>
      <c r="Q7" s="27" t="str">
        <f aca="false">LEFT(TEXT(Q6,"TTTT"),1)</f>
        <v>D</v>
      </c>
      <c r="R7" s="27" t="str">
        <f aca="false">LEFT(TEXT(R6,"TTTT"),1)</f>
        <v>M</v>
      </c>
      <c r="S7" s="27" t="str">
        <f aca="false">LEFT(TEXT(S6,"TTTT"),1)</f>
        <v>D</v>
      </c>
      <c r="T7" s="27" t="str">
        <f aca="false">LEFT(TEXT(T6,"TTTT"),1)</f>
        <v>F</v>
      </c>
      <c r="U7" s="27" t="str">
        <f aca="false">LEFT(TEXT(U6,"TTTT"),1)</f>
        <v>S</v>
      </c>
      <c r="V7" s="27" t="str">
        <f aca="false">LEFT(TEXT(V6,"TTTT"),1)</f>
        <v>S</v>
      </c>
      <c r="W7" s="27" t="str">
        <f aca="false">LEFT(TEXT(W6,"TTTT"),1)</f>
        <v>M</v>
      </c>
      <c r="X7" s="27" t="str">
        <f aca="false">LEFT(TEXT(X6,"TTTT"),1)</f>
        <v>D</v>
      </c>
      <c r="Y7" s="27" t="str">
        <f aca="false">LEFT(TEXT(Y6,"TTTT"),1)</f>
        <v>M</v>
      </c>
      <c r="Z7" s="27" t="str">
        <f aca="false">LEFT(TEXT(Z6,"TTTT"),1)</f>
        <v>D</v>
      </c>
      <c r="AA7" s="27" t="str">
        <f aca="false">LEFT(TEXT(AA6,"TTTT"),1)</f>
        <v>F</v>
      </c>
      <c r="AB7" s="27" t="str">
        <f aca="false">LEFT(TEXT(AB6,"TTTT"),1)</f>
        <v>S</v>
      </c>
      <c r="AC7" s="27" t="str">
        <f aca="false">LEFT(TEXT(AC6,"TTTT"),1)</f>
        <v>S</v>
      </c>
      <c r="AD7" s="27" t="str">
        <f aca="false">LEFT(TEXT(AD6,"TTTT"),1)</f>
        <v>M</v>
      </c>
      <c r="AE7" s="27" t="str">
        <f aca="false">LEFT(TEXT(AE6,"TTTT"),1)</f>
        <v>D</v>
      </c>
      <c r="AF7" s="27" t="str">
        <f aca="false">LEFT(TEXT(AF6,"TTTT"),1)</f>
        <v>M</v>
      </c>
      <c r="AG7" s="27" t="str">
        <f aca="false">LEFT(TEXT(AG6,"TTTT"),1)</f>
        <v>D</v>
      </c>
      <c r="AH7" s="27" t="str">
        <f aca="false">LEFT(TEXT(AH6,"TTTT"),1)</f>
        <v>F</v>
      </c>
      <c r="AI7" s="27" t="str">
        <f aca="false">LEFT(TEXT(AI6,"TTTT"),1)</f>
        <v>S</v>
      </c>
      <c r="AJ7" s="27" t="str">
        <f aca="false">LEFT(TEXT(AJ6,"TTTT"),1)</f>
        <v>S</v>
      </c>
      <c r="AK7" s="27" t="str">
        <f aca="false">LEFT(TEXT(AK6,"TTTT"),1)</f>
        <v>M</v>
      </c>
      <c r="AL7" s="27" t="str">
        <f aca="false">LEFT(TEXT(AL6,"TTTT"),1)</f>
        <v>D</v>
      </c>
      <c r="AM7" s="27" t="str">
        <f aca="false">LEFT(TEXT(AM6,"TTTT"),1)</f>
        <v>M</v>
      </c>
      <c r="AN7" s="27" t="str">
        <f aca="false">LEFT(TEXT(AN6,"TTTT"),1)</f>
        <v>D</v>
      </c>
      <c r="AO7" s="27" t="str">
        <f aca="false">LEFT(TEXT(AO6,"TTTT"),1)</f>
        <v>F</v>
      </c>
      <c r="AP7" s="27" t="str">
        <f aca="false">LEFT(TEXT(AP6,"TTTT"),1)</f>
        <v>S</v>
      </c>
      <c r="AQ7" s="27" t="str">
        <f aca="false">LEFT(TEXT(AQ6,"TTTT"),1)</f>
        <v>S</v>
      </c>
      <c r="AR7" s="27" t="str">
        <f aca="false">LEFT(TEXT(AR6,"TTTT"),1)</f>
        <v>M</v>
      </c>
      <c r="AS7" s="27" t="str">
        <f aca="false">LEFT(TEXT(AS6,"TTTT"),1)</f>
        <v>D</v>
      </c>
      <c r="AT7" s="27" t="str">
        <f aca="false">LEFT(TEXT(AT6,"TTTT"),1)</f>
        <v>M</v>
      </c>
      <c r="AU7" s="27" t="str">
        <f aca="false">LEFT(TEXT(AU6,"TTTT"),1)</f>
        <v>D</v>
      </c>
      <c r="AV7" s="27" t="str">
        <f aca="false">LEFT(TEXT(AV6,"TTTT"),1)</f>
        <v>F</v>
      </c>
      <c r="AW7" s="27" t="str">
        <f aca="false">LEFT(TEXT(AW6,"TTTT"),1)</f>
        <v>S</v>
      </c>
      <c r="AX7" s="27" t="str">
        <f aca="false">LEFT(TEXT(AX6,"TTTT"),1)</f>
        <v>S</v>
      </c>
      <c r="AY7" s="27" t="str">
        <f aca="false">LEFT(TEXT(AY6,"TTTT"),1)</f>
        <v>M</v>
      </c>
      <c r="AZ7" s="27" t="str">
        <f aca="false">LEFT(TEXT(AZ6,"TTTT"),1)</f>
        <v>D</v>
      </c>
      <c r="BA7" s="27" t="str">
        <f aca="false">LEFT(TEXT(BA6,"TTTT"),1)</f>
        <v>M</v>
      </c>
      <c r="BB7" s="27" t="str">
        <f aca="false">LEFT(TEXT(BB6,"TTTT"),1)</f>
        <v>D</v>
      </c>
      <c r="BC7" s="27" t="str">
        <f aca="false">LEFT(TEXT(BC6,"TTTT"),1)</f>
        <v>F</v>
      </c>
      <c r="BD7" s="27" t="str">
        <f aca="false">LEFT(TEXT(BD6,"TTTT"),1)</f>
        <v>S</v>
      </c>
      <c r="BE7" s="27" t="str">
        <f aca="false">LEFT(TEXT(BE6,"TTTT"),1)</f>
        <v>S</v>
      </c>
      <c r="BF7" s="27" t="str">
        <f aca="false">LEFT(TEXT(BF6,"TTTT"),1)</f>
        <v>M</v>
      </c>
      <c r="BG7" s="27" t="str">
        <f aca="false">LEFT(TEXT(BG6,"TTTT"),1)</f>
        <v>D</v>
      </c>
      <c r="BH7" s="27" t="str">
        <f aca="false">LEFT(TEXT(BH6,"TTTT"),1)</f>
        <v>M</v>
      </c>
      <c r="BI7" s="27" t="str">
        <f aca="false">LEFT(TEXT(BI6,"TTTT"),1)</f>
        <v>D</v>
      </c>
      <c r="BJ7" s="27" t="str">
        <f aca="false">LEFT(TEXT(BJ6,"TTTT"),1)</f>
        <v>F</v>
      </c>
      <c r="BK7" s="27" t="str">
        <f aca="false">LEFT(TEXT(BK6,"TTTT"),1)</f>
        <v>S</v>
      </c>
      <c r="BL7" s="27" t="str">
        <f aca="false">LEFT(TEXT(BL6,"TTTT"),1)</f>
        <v>S</v>
      </c>
    </row>
    <row r="8" customFormat="false" ht="30" hidden="true" customHeight="true" outlineLevel="0" collapsed="false">
      <c r="A8" s="1" t="s">
        <v>19</v>
      </c>
      <c r="C8" s="28"/>
      <c r="H8" s="2" t="str">
        <f aca="false">IF(OR(ISBLANK(task_start),ISBLANK(task_end)),"",task_end-task_start+1)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row>
    <row r="9" s="36" customFormat="true" ht="30" hidden="false" customHeight="true" outlineLevel="0" collapsed="false">
      <c r="A9" s="4" t="s">
        <v>20</v>
      </c>
      <c r="B9" s="30" t="s">
        <v>21</v>
      </c>
      <c r="C9" s="31" t="s">
        <v>5</v>
      </c>
      <c r="D9" s="32"/>
      <c r="E9" s="33"/>
      <c r="F9" s="34"/>
      <c r="G9" s="35"/>
      <c r="H9" s="35" t="str">
        <f aca="false">IF(OR(ISBLANK(task_start),ISBLANK(task_end)),"",task_end-task_start+1)</f>
        <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row>
    <row r="10" s="36" customFormat="true" ht="30" hidden="false" customHeight="true" outlineLevel="0" collapsed="false">
      <c r="A10" s="4" t="s">
        <v>22</v>
      </c>
      <c r="B10" s="37" t="s">
        <v>23</v>
      </c>
      <c r="C10" s="38" t="s">
        <v>5</v>
      </c>
      <c r="D10" s="39" t="n">
        <v>0.4</v>
      </c>
      <c r="E10" s="40" t="n">
        <v>46106</v>
      </c>
      <c r="F10" s="40"/>
      <c r="G10" s="35"/>
      <c r="H10" s="35" t="str">
        <f aca="false">IF(OR(ISBLANK(task_start),ISBLANK(task_end)),"",task_end-task_start+1)</f>
        <v/>
      </c>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row>
    <row r="11" s="36" customFormat="true" ht="30" hidden="false" customHeight="true" outlineLevel="0" collapsed="false">
      <c r="A11" s="4"/>
      <c r="B11" s="37" t="s">
        <v>24</v>
      </c>
      <c r="C11" s="38" t="s">
        <v>5</v>
      </c>
      <c r="D11" s="39" t="n">
        <v>0</v>
      </c>
      <c r="E11" s="40" t="n">
        <v>46106</v>
      </c>
      <c r="F11" s="40"/>
      <c r="G11" s="35"/>
      <c r="H11" s="35"/>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row>
    <row r="12" s="36" customFormat="true" ht="30" hidden="false" customHeight="true" outlineLevel="0" collapsed="false">
      <c r="A12" s="4"/>
      <c r="B12" s="37" t="s">
        <v>25</v>
      </c>
      <c r="C12" s="38" t="s">
        <v>5</v>
      </c>
      <c r="D12" s="39" t="n">
        <v>0.6</v>
      </c>
      <c r="E12" s="40" t="n">
        <v>46106</v>
      </c>
      <c r="F12" s="40"/>
      <c r="G12" s="35"/>
      <c r="H12" s="35"/>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row>
    <row r="13" s="36" customFormat="true" ht="30" hidden="false" customHeight="true" outlineLevel="0" collapsed="false">
      <c r="A13" s="4"/>
      <c r="B13" s="37" t="s">
        <v>26</v>
      </c>
      <c r="C13" s="38" t="s">
        <v>5</v>
      </c>
      <c r="D13" s="39" t="n">
        <v>0.2</v>
      </c>
      <c r="E13" s="40" t="n">
        <v>46106</v>
      </c>
      <c r="F13" s="40"/>
      <c r="G13" s="35"/>
      <c r="H13" s="35"/>
      <c r="I13" s="29"/>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row>
    <row r="14" s="36" customFormat="true" ht="30" hidden="false" customHeight="true" outlineLevel="0" collapsed="false">
      <c r="A14" s="4" t="s">
        <v>27</v>
      </c>
      <c r="B14" s="37" t="s">
        <v>28</v>
      </c>
      <c r="C14" s="38" t="s">
        <v>5</v>
      </c>
      <c r="D14" s="39" t="n">
        <v>1</v>
      </c>
      <c r="E14" s="40" t="n">
        <v>46029</v>
      </c>
      <c r="F14" s="40" t="n">
        <v>46106</v>
      </c>
      <c r="G14" s="35"/>
      <c r="H14" s="35" t="n">
        <f aca="false">IF(OR(ISBLANK(task_start),ISBLANK(task_end)),"",task_end-task_start+1)</f>
        <v>78</v>
      </c>
      <c r="I14" s="29"/>
      <c r="J14" s="29"/>
      <c r="K14" s="29"/>
      <c r="L14" s="29"/>
      <c r="M14" s="29"/>
      <c r="N14" s="29"/>
      <c r="O14" s="29"/>
      <c r="P14" s="29"/>
      <c r="Q14" s="29"/>
      <c r="R14" s="29"/>
      <c r="S14" s="29"/>
      <c r="T14" s="29"/>
      <c r="U14" s="41"/>
      <c r="V14" s="41"/>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row>
    <row r="15" s="36" customFormat="true" ht="30" hidden="false" customHeight="true" outlineLevel="0" collapsed="false">
      <c r="A15" s="4"/>
      <c r="B15" s="37" t="s">
        <v>29</v>
      </c>
      <c r="C15" s="38" t="s">
        <v>5</v>
      </c>
      <c r="D15" s="39" t="n">
        <v>1</v>
      </c>
      <c r="E15" s="40" t="n">
        <v>46035</v>
      </c>
      <c r="F15" s="40" t="n">
        <v>46064</v>
      </c>
      <c r="G15" s="35"/>
      <c r="H15" s="35"/>
      <c r="I15" s="29"/>
      <c r="J15" s="29"/>
      <c r="K15" s="29"/>
      <c r="L15" s="29"/>
      <c r="M15" s="29"/>
      <c r="N15" s="29"/>
      <c r="O15" s="29"/>
      <c r="P15" s="29"/>
      <c r="Q15" s="29"/>
      <c r="R15" s="29"/>
      <c r="S15" s="29"/>
      <c r="T15" s="29"/>
      <c r="U15" s="41"/>
      <c r="V15" s="41"/>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row>
    <row r="16" s="36" customFormat="true" ht="30" hidden="false" customHeight="true" outlineLevel="0" collapsed="false">
      <c r="A16" s="4"/>
      <c r="B16" s="37" t="s">
        <v>30</v>
      </c>
      <c r="C16" s="38" t="s">
        <v>5</v>
      </c>
      <c r="D16" s="39" t="n">
        <v>1</v>
      </c>
      <c r="E16" s="40" t="n">
        <v>46063</v>
      </c>
      <c r="F16" s="40" t="n">
        <v>46108</v>
      </c>
      <c r="G16" s="35"/>
      <c r="H16" s="35"/>
      <c r="I16" s="29"/>
      <c r="J16" s="29"/>
      <c r="K16" s="29"/>
      <c r="L16" s="29"/>
      <c r="M16" s="29"/>
      <c r="N16" s="29"/>
      <c r="O16" s="29"/>
      <c r="P16" s="29"/>
      <c r="Q16" s="29"/>
      <c r="R16" s="29"/>
      <c r="S16" s="29"/>
      <c r="T16" s="29"/>
      <c r="U16" s="41"/>
      <c r="V16" s="41"/>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row>
    <row r="17" s="36" customFormat="true" ht="30" hidden="false" customHeight="true" outlineLevel="0" collapsed="false">
      <c r="A17" s="4"/>
      <c r="B17" s="37" t="s">
        <v>31</v>
      </c>
      <c r="C17" s="38" t="s">
        <v>5</v>
      </c>
      <c r="D17" s="39" t="n">
        <v>0.7</v>
      </c>
      <c r="E17" s="40" t="n">
        <v>46106</v>
      </c>
      <c r="F17" s="40" t="n">
        <v>46108</v>
      </c>
      <c r="G17" s="35"/>
      <c r="H17" s="35"/>
      <c r="I17" s="29"/>
      <c r="J17" s="29"/>
      <c r="K17" s="29"/>
      <c r="L17" s="29"/>
      <c r="M17" s="29"/>
      <c r="N17" s="29"/>
      <c r="O17" s="29"/>
      <c r="P17" s="29"/>
      <c r="Q17" s="29"/>
      <c r="R17" s="29"/>
      <c r="S17" s="29"/>
      <c r="T17" s="29"/>
      <c r="U17" s="41"/>
      <c r="V17" s="41"/>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row>
    <row r="18" s="36" customFormat="true" ht="30" hidden="false" customHeight="true" outlineLevel="0" collapsed="false">
      <c r="A18" s="4"/>
      <c r="B18" s="37" t="s">
        <v>32</v>
      </c>
      <c r="C18" s="38" t="s">
        <v>5</v>
      </c>
      <c r="D18" s="39" t="n">
        <v>1</v>
      </c>
      <c r="E18" s="40" t="n">
        <v>46063</v>
      </c>
      <c r="F18" s="40" t="n">
        <v>46064</v>
      </c>
      <c r="G18" s="35"/>
      <c r="H18" s="35"/>
      <c r="I18" s="29"/>
      <c r="J18" s="29"/>
      <c r="K18" s="29"/>
      <c r="L18" s="29"/>
      <c r="M18" s="29"/>
      <c r="N18" s="29"/>
      <c r="O18" s="29"/>
      <c r="P18" s="29"/>
      <c r="Q18" s="29"/>
      <c r="R18" s="29"/>
      <c r="S18" s="29"/>
      <c r="T18" s="29"/>
      <c r="U18" s="41"/>
      <c r="V18" s="41"/>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row>
    <row r="19" s="36" customFormat="true" ht="30" hidden="false" customHeight="true" outlineLevel="0" collapsed="false">
      <c r="A19" s="4"/>
      <c r="B19" s="37" t="s">
        <v>33</v>
      </c>
      <c r="C19" s="38" t="s">
        <v>5</v>
      </c>
      <c r="D19" s="39" t="n">
        <v>1</v>
      </c>
      <c r="E19" s="40" t="n">
        <v>46035</v>
      </c>
      <c r="F19" s="40" t="n">
        <v>46064</v>
      </c>
      <c r="G19" s="35"/>
      <c r="H19" s="35"/>
      <c r="I19" s="29"/>
      <c r="J19" s="29"/>
      <c r="K19" s="29"/>
      <c r="L19" s="29"/>
      <c r="M19" s="29"/>
      <c r="N19" s="29"/>
      <c r="O19" s="29"/>
      <c r="P19" s="29"/>
      <c r="Q19" s="29"/>
      <c r="R19" s="29"/>
      <c r="S19" s="29"/>
      <c r="T19" s="29"/>
      <c r="U19" s="41"/>
      <c r="V19" s="41"/>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row>
    <row r="20" s="36" customFormat="true" ht="30" hidden="false" customHeight="true" outlineLevel="0" collapsed="false">
      <c r="A20" s="1"/>
      <c r="B20" s="37" t="s">
        <v>34</v>
      </c>
      <c r="C20" s="38" t="s">
        <v>5</v>
      </c>
      <c r="D20" s="39" t="n">
        <v>1</v>
      </c>
      <c r="E20" s="40" t="n">
        <v>46035</v>
      </c>
      <c r="F20" s="40" t="n">
        <v>46106</v>
      </c>
      <c r="G20" s="35"/>
      <c r="H20" s="35" t="n">
        <f aca="false">IF(OR(ISBLANK(task_start),ISBLANK(task_end)),"",task_end-task_start+1)</f>
        <v>72</v>
      </c>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row>
    <row r="21" s="36" customFormat="true" ht="30" hidden="false" customHeight="true" outlineLevel="0" collapsed="false">
      <c r="A21" s="1"/>
      <c r="B21" s="37" t="s">
        <v>35</v>
      </c>
      <c r="C21" s="38" t="s">
        <v>5</v>
      </c>
      <c r="D21" s="39" t="n">
        <v>1</v>
      </c>
      <c r="E21" s="40" t="n">
        <v>46042</v>
      </c>
      <c r="F21" s="40" t="n">
        <v>46057</v>
      </c>
      <c r="G21" s="35"/>
      <c r="H21" s="35" t="n">
        <f aca="false">IF(OR(ISBLANK(task_start),ISBLANK(task_end)),"",task_end-task_start+1)</f>
        <v>16</v>
      </c>
      <c r="I21" s="29"/>
      <c r="J21" s="29"/>
      <c r="K21" s="29"/>
      <c r="L21" s="29"/>
      <c r="M21" s="29"/>
      <c r="N21" s="29"/>
      <c r="O21" s="29"/>
      <c r="P21" s="29"/>
      <c r="Q21" s="29"/>
      <c r="R21" s="29"/>
      <c r="S21" s="29"/>
      <c r="T21" s="29"/>
      <c r="U21" s="29"/>
      <c r="V21" s="29"/>
      <c r="W21" s="29"/>
      <c r="X21" s="29"/>
      <c r="Y21" s="41"/>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row>
    <row r="22" s="36" customFormat="true" ht="30" hidden="false" customHeight="true" outlineLevel="0" collapsed="false">
      <c r="A22" s="1"/>
      <c r="B22" s="37" t="s">
        <v>36</v>
      </c>
      <c r="C22" s="38" t="s">
        <v>5</v>
      </c>
      <c r="D22" s="39" t="n">
        <v>1</v>
      </c>
      <c r="E22" s="40" t="n">
        <v>46106</v>
      </c>
      <c r="F22" s="40" t="n">
        <v>46106</v>
      </c>
      <c r="G22" s="35"/>
      <c r="H22" s="35"/>
      <c r="I22" s="29"/>
      <c r="J22" s="29"/>
      <c r="K22" s="29"/>
      <c r="L22" s="29"/>
      <c r="M22" s="29"/>
      <c r="N22" s="29"/>
      <c r="O22" s="29"/>
      <c r="P22" s="29"/>
      <c r="Q22" s="29"/>
      <c r="R22" s="29"/>
      <c r="S22" s="29"/>
      <c r="T22" s="29"/>
      <c r="U22" s="29"/>
      <c r="V22" s="29"/>
      <c r="W22" s="29"/>
      <c r="X22" s="29"/>
      <c r="Y22" s="41"/>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row>
    <row r="23" s="36" customFormat="true" ht="30" hidden="false" customHeight="true" outlineLevel="0" collapsed="false">
      <c r="A23" s="1"/>
      <c r="B23" s="37" t="s">
        <v>37</v>
      </c>
      <c r="C23" s="38"/>
      <c r="D23" s="39"/>
      <c r="E23" s="40"/>
      <c r="F23" s="40"/>
      <c r="G23" s="35"/>
      <c r="H23" s="35" t="str">
        <f aca="false">IF(OR(ISBLANK(task_start),ISBLANK(task_end)),"",task_end-task_start+1)</f>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row>
    <row r="24" s="36" customFormat="true" ht="30" hidden="false" customHeight="true" outlineLevel="0" collapsed="false">
      <c r="A24" s="4" t="s">
        <v>38</v>
      </c>
      <c r="B24" s="42" t="s">
        <v>39</v>
      </c>
      <c r="C24" s="43"/>
      <c r="D24" s="44"/>
      <c r="E24" s="45"/>
      <c r="F24" s="46"/>
      <c r="G24" s="35"/>
      <c r="H24" s="35" t="str">
        <f aca="false">IF(OR(ISBLANK(task_start),ISBLANK(task_end)),"",task_end-task_start+1)</f>
        <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row>
    <row r="25" s="36" customFormat="true" ht="30" hidden="false" customHeight="true" outlineLevel="0" collapsed="false">
      <c r="A25" s="4"/>
      <c r="B25" s="47" t="s">
        <v>40</v>
      </c>
      <c r="C25" s="48"/>
      <c r="D25" s="49" t="n">
        <v>1</v>
      </c>
      <c r="E25" s="50" t="n">
        <v>46063</v>
      </c>
      <c r="F25" s="50" t="n">
        <v>46078</v>
      </c>
      <c r="G25" s="35"/>
      <c r="H25" s="35" t="n">
        <f aca="false">IF(OR(ISBLANK(task_start),ISBLANK(task_end)),"",task_end-task_start+1)</f>
        <v>16</v>
      </c>
      <c r="I25" s="29"/>
      <c r="J25" s="29"/>
      <c r="K25" s="29"/>
      <c r="L25" s="29"/>
      <c r="M25" s="29"/>
      <c r="N25" s="29"/>
      <c r="O25" s="29"/>
      <c r="P25" s="29"/>
      <c r="Q25" s="51"/>
      <c r="R25" s="51"/>
      <c r="S25" s="51"/>
      <c r="T25" s="51"/>
      <c r="U25" s="51"/>
      <c r="V25" s="51"/>
      <c r="W25" s="51"/>
      <c r="X25" s="51"/>
      <c r="Y25" s="51"/>
      <c r="Z25" s="51"/>
      <c r="AA25" s="51"/>
      <c r="AB25" s="51"/>
      <c r="AC25" s="51"/>
      <c r="AD25" s="51"/>
      <c r="AE25" s="51"/>
      <c r="AF25" s="51"/>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row>
    <row r="26" s="36" customFormat="true" ht="30" hidden="false" customHeight="true" outlineLevel="0" collapsed="false">
      <c r="A26" s="1"/>
      <c r="B26" s="47" t="s">
        <v>41</v>
      </c>
      <c r="C26" s="48"/>
      <c r="D26" s="49" t="n">
        <v>1</v>
      </c>
      <c r="E26" s="50" t="n">
        <v>46077</v>
      </c>
      <c r="F26" s="50" t="n">
        <v>46085</v>
      </c>
      <c r="G26" s="35"/>
      <c r="H26" s="35" t="n">
        <f aca="false">IF(OR(ISBLANK(task_start),ISBLANK(task_end)),"",task_end-task_start+1)</f>
        <v>9</v>
      </c>
      <c r="I26" s="29"/>
      <c r="J26" s="29"/>
      <c r="K26" s="29"/>
      <c r="L26" s="29"/>
      <c r="M26" s="29"/>
      <c r="N26" s="29"/>
      <c r="O26" s="29"/>
      <c r="P26" s="29"/>
      <c r="Q26" s="29"/>
      <c r="R26" s="29"/>
      <c r="S26" s="29"/>
      <c r="T26" s="29"/>
      <c r="U26" s="41"/>
      <c r="V26" s="41"/>
      <c r="W26" s="29"/>
      <c r="X26" s="29"/>
      <c r="Y26" s="29"/>
      <c r="Z26" s="29"/>
      <c r="AA26" s="29"/>
      <c r="AB26" s="29"/>
      <c r="AC26" s="29"/>
      <c r="AD26" s="29"/>
      <c r="AE26" s="51"/>
      <c r="AF26" s="51"/>
      <c r="AG26" s="51"/>
      <c r="AH26" s="51"/>
      <c r="AI26" s="51"/>
      <c r="AJ26" s="51"/>
      <c r="AK26" s="51"/>
      <c r="AL26" s="51"/>
      <c r="AM26" s="51"/>
      <c r="AN26" s="52"/>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row>
    <row r="27" s="36" customFormat="true" ht="30" hidden="false" customHeight="true" outlineLevel="0" collapsed="false">
      <c r="A27" s="1"/>
      <c r="B27" s="47" t="s">
        <v>42</v>
      </c>
      <c r="C27" s="48"/>
      <c r="D27" s="49" t="n">
        <v>1</v>
      </c>
      <c r="E27" s="50" t="n">
        <v>46084</v>
      </c>
      <c r="F27" s="50" t="n">
        <v>46092</v>
      </c>
      <c r="G27" s="35"/>
      <c r="H27" s="35" t="n">
        <f aca="false">IF(OR(ISBLANK(task_start),ISBLANK(task_end)),"",task_end-task_start+1)</f>
        <v>9</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51"/>
      <c r="AM27" s="51"/>
      <c r="AN27" s="51"/>
      <c r="AO27" s="51"/>
      <c r="AP27" s="51"/>
      <c r="AQ27" s="51"/>
      <c r="AR27" s="51"/>
      <c r="AS27" s="51"/>
      <c r="AT27" s="51"/>
      <c r="AU27" s="29"/>
      <c r="AV27" s="29"/>
      <c r="AW27" s="29"/>
      <c r="AX27" s="29"/>
      <c r="AY27" s="29"/>
      <c r="AZ27" s="29"/>
      <c r="BA27" s="29"/>
      <c r="BB27" s="29"/>
      <c r="BC27" s="29"/>
      <c r="BD27" s="29"/>
      <c r="BE27" s="29"/>
      <c r="BF27" s="29"/>
      <c r="BG27" s="29"/>
      <c r="BH27" s="29"/>
      <c r="BI27" s="29"/>
      <c r="BJ27" s="29"/>
      <c r="BK27" s="29"/>
      <c r="BL27" s="29"/>
    </row>
    <row r="28" s="36" customFormat="true" ht="30" hidden="false" customHeight="true" outlineLevel="0" collapsed="false">
      <c r="A28" s="1"/>
      <c r="B28" s="47" t="s">
        <v>43</v>
      </c>
      <c r="C28" s="48"/>
      <c r="D28" s="49" t="n">
        <v>1</v>
      </c>
      <c r="E28" s="50" t="n">
        <v>46105</v>
      </c>
      <c r="F28" s="50" t="n">
        <v>46106</v>
      </c>
      <c r="G28" s="35"/>
      <c r="H28" s="35" t="n">
        <f aca="false">IF(OR(ISBLANK(task_start),ISBLANK(task_end)),"",task_end-task_start+1)</f>
        <v>2</v>
      </c>
      <c r="I28" s="29"/>
      <c r="J28" s="29"/>
      <c r="K28" s="29"/>
      <c r="L28" s="29"/>
      <c r="M28" s="29"/>
      <c r="N28" s="29"/>
      <c r="O28" s="29"/>
      <c r="P28" s="29"/>
      <c r="Q28" s="29"/>
      <c r="R28" s="29"/>
      <c r="S28" s="29"/>
      <c r="T28" s="29"/>
      <c r="U28" s="29"/>
      <c r="V28" s="29"/>
      <c r="W28" s="29"/>
      <c r="X28" s="29"/>
      <c r="Y28" s="41"/>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51"/>
      <c r="BH28" s="51"/>
      <c r="BI28" s="29"/>
      <c r="BJ28" s="29"/>
      <c r="BK28" s="29"/>
      <c r="BL28" s="29"/>
    </row>
    <row r="29" s="36" customFormat="true" ht="30" hidden="false" customHeight="true" outlineLevel="0" collapsed="false">
      <c r="A29" s="1"/>
      <c r="B29" s="53" t="s">
        <v>44</v>
      </c>
      <c r="C29" s="48"/>
      <c r="D29" s="49" t="n">
        <v>0.2</v>
      </c>
      <c r="E29" s="50" t="n">
        <v>46091</v>
      </c>
      <c r="F29" s="50" t="n">
        <v>46092</v>
      </c>
      <c r="G29" s="35"/>
      <c r="H29" s="35"/>
      <c r="I29" s="29"/>
      <c r="J29" s="29"/>
      <c r="K29" s="29"/>
      <c r="L29" s="29"/>
      <c r="M29" s="29"/>
      <c r="N29" s="29"/>
      <c r="O29" s="29"/>
      <c r="P29" s="29"/>
      <c r="Q29" s="29"/>
      <c r="R29" s="29"/>
      <c r="S29" s="29"/>
      <c r="T29" s="29"/>
      <c r="U29" s="29"/>
      <c r="V29" s="29"/>
      <c r="W29" s="29"/>
      <c r="X29" s="29"/>
      <c r="Y29" s="41"/>
      <c r="Z29" s="29"/>
      <c r="AA29" s="29"/>
      <c r="AB29" s="29"/>
      <c r="AC29" s="29"/>
      <c r="AD29" s="29"/>
      <c r="AE29" s="29"/>
      <c r="AF29" s="29"/>
      <c r="AG29" s="29"/>
      <c r="AH29" s="29"/>
      <c r="AI29" s="29"/>
      <c r="AJ29" s="29"/>
      <c r="AK29" s="29"/>
      <c r="AL29" s="29"/>
      <c r="AM29" s="29"/>
      <c r="AN29" s="29"/>
      <c r="AO29" s="29"/>
      <c r="AP29" s="29"/>
      <c r="AQ29" s="29"/>
      <c r="AR29" s="29"/>
      <c r="AS29" s="51"/>
      <c r="AT29" s="51"/>
      <c r="AU29" s="29"/>
      <c r="AV29" s="29"/>
      <c r="AW29" s="29"/>
      <c r="AX29" s="29"/>
      <c r="AY29" s="29"/>
      <c r="AZ29" s="29"/>
      <c r="BA29" s="29"/>
      <c r="BB29" s="29"/>
      <c r="BC29" s="29"/>
      <c r="BD29" s="29"/>
      <c r="BE29" s="29"/>
      <c r="BF29" s="29"/>
      <c r="BG29" s="29"/>
      <c r="BH29" s="29"/>
      <c r="BI29" s="29"/>
      <c r="BJ29" s="29"/>
      <c r="BK29" s="29"/>
      <c r="BL29" s="29"/>
    </row>
    <row r="30" s="36" customFormat="true" ht="30" hidden="false" customHeight="true" outlineLevel="0" collapsed="false">
      <c r="A30" s="1" t="s">
        <v>45</v>
      </c>
      <c r="B30" s="54" t="s">
        <v>46</v>
      </c>
      <c r="C30" s="55"/>
      <c r="D30" s="56"/>
      <c r="E30" s="57"/>
      <c r="F30" s="58"/>
      <c r="G30" s="35"/>
      <c r="H30" s="35" t="str">
        <f aca="false">IF(OR(ISBLANK(task_start),ISBLANK(task_end)),"",task_end-task_start+1)</f>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row>
    <row r="31" s="36" customFormat="true" ht="30" hidden="false" customHeight="true" outlineLevel="0" collapsed="false">
      <c r="A31" s="1"/>
      <c r="B31" s="59" t="s">
        <v>47</v>
      </c>
      <c r="C31" s="60"/>
      <c r="D31" s="61" t="n">
        <v>1</v>
      </c>
      <c r="E31" s="62" t="n">
        <v>46063</v>
      </c>
      <c r="F31" s="62" t="n">
        <v>46071</v>
      </c>
      <c r="G31" s="35"/>
      <c r="H31" s="35" t="n">
        <f aca="false">IF(OR(ISBLANK(task_start),ISBLANK(task_end)),"",task_end-task_start+1)</f>
        <v>9</v>
      </c>
      <c r="I31" s="29"/>
      <c r="J31" s="29"/>
      <c r="K31" s="29"/>
      <c r="L31" s="29"/>
      <c r="M31" s="29"/>
      <c r="N31" s="29"/>
      <c r="O31" s="29"/>
      <c r="P31" s="29"/>
      <c r="Q31" s="51"/>
      <c r="R31" s="51"/>
      <c r="S31" s="51"/>
      <c r="T31" s="51"/>
      <c r="U31" s="51"/>
      <c r="V31" s="51"/>
      <c r="W31" s="51"/>
      <c r="X31" s="51"/>
      <c r="Y31" s="51"/>
      <c r="Z31" s="52"/>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row>
    <row r="32" s="36" customFormat="true" ht="30" hidden="false" customHeight="true" outlineLevel="0" collapsed="false">
      <c r="A32" s="1"/>
      <c r="B32" s="59" t="s">
        <v>48</v>
      </c>
      <c r="C32" s="60"/>
      <c r="D32" s="61" t="n">
        <v>1</v>
      </c>
      <c r="E32" s="62" t="n">
        <v>46091</v>
      </c>
      <c r="F32" s="62" t="n">
        <v>46092</v>
      </c>
      <c r="G32" s="35"/>
      <c r="H32" s="35" t="n">
        <f aca="false">IF(OR(ISBLANK(task_start),ISBLANK(task_end)),"",task_end-task_start+1)</f>
        <v>2</v>
      </c>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51"/>
      <c r="AT32" s="51"/>
      <c r="AU32" s="29"/>
      <c r="AV32" s="29"/>
      <c r="AW32" s="29"/>
      <c r="AX32" s="29"/>
      <c r="AY32" s="29"/>
      <c r="AZ32" s="29"/>
      <c r="BA32" s="29"/>
      <c r="BB32" s="29"/>
      <c r="BC32" s="29"/>
      <c r="BD32" s="29"/>
      <c r="BE32" s="29"/>
      <c r="BF32" s="29"/>
      <c r="BG32" s="29"/>
      <c r="BH32" s="29"/>
      <c r="BI32" s="29"/>
      <c r="BJ32" s="29"/>
      <c r="BK32" s="29"/>
      <c r="BL32" s="29"/>
    </row>
    <row r="33" s="36" customFormat="true" ht="30" hidden="false" customHeight="true" outlineLevel="0" collapsed="false">
      <c r="A33" s="1"/>
      <c r="B33" s="59" t="s">
        <v>49</v>
      </c>
      <c r="C33" s="60"/>
      <c r="D33" s="61" t="n">
        <v>0</v>
      </c>
      <c r="E33" s="63"/>
      <c r="F33" s="63"/>
      <c r="G33" s="35"/>
      <c r="H33" s="35" t="str">
        <f aca="false">IF(OR(ISBLANK(task_start),ISBLANK(task_end)),"",task_end-task_start+1)</f>
        <v/>
      </c>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row>
    <row r="34" s="36" customFormat="true" ht="30" hidden="false" customHeight="true" outlineLevel="0" collapsed="false">
      <c r="A34" s="1"/>
      <c r="B34" s="59" t="s">
        <v>50</v>
      </c>
      <c r="C34" s="60"/>
      <c r="D34" s="61" t="n">
        <v>0.5</v>
      </c>
      <c r="E34" s="62" t="n">
        <v>46091</v>
      </c>
      <c r="F34" s="62" t="n">
        <v>46092</v>
      </c>
      <c r="G34" s="35"/>
      <c r="H34" s="35" t="n">
        <f aca="false">IF(OR(ISBLANK(task_start),ISBLANK(task_end)),"",task_end-task_start+1)</f>
        <v>2</v>
      </c>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51"/>
      <c r="AT34" s="51"/>
      <c r="AU34" s="29"/>
      <c r="AV34" s="29"/>
      <c r="AW34" s="29"/>
      <c r="AX34" s="29"/>
      <c r="AY34" s="29"/>
      <c r="AZ34" s="29"/>
      <c r="BA34" s="29"/>
      <c r="BB34" s="29"/>
      <c r="BC34" s="29"/>
      <c r="BD34" s="29"/>
      <c r="BE34" s="29"/>
      <c r="BF34" s="29"/>
      <c r="BG34" s="29"/>
      <c r="BH34" s="29"/>
      <c r="BI34" s="29"/>
      <c r="BJ34" s="29"/>
      <c r="BK34" s="29"/>
      <c r="BL34" s="29"/>
    </row>
    <row r="35" s="36" customFormat="true" ht="30" hidden="false" customHeight="true" outlineLevel="0" collapsed="false">
      <c r="A35" s="1" t="s">
        <v>45</v>
      </c>
      <c r="B35" s="64" t="s">
        <v>51</v>
      </c>
      <c r="C35" s="65"/>
      <c r="D35" s="66"/>
      <c r="E35" s="67"/>
      <c r="F35" s="68"/>
      <c r="G35" s="35"/>
      <c r="H35" s="35" t="str">
        <f aca="false">IF(OR(ISBLANK(task_start),ISBLANK(task_end)),"",task_end-task_start+1)</f>
        <v/>
      </c>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row>
    <row r="36" s="36" customFormat="true" ht="30" hidden="false" customHeight="true" outlineLevel="0" collapsed="false">
      <c r="A36" s="1"/>
      <c r="B36" s="69" t="s">
        <v>52</v>
      </c>
      <c r="C36" s="70"/>
      <c r="D36" s="71" t="n">
        <v>1</v>
      </c>
      <c r="E36" s="72" t="n">
        <v>46054</v>
      </c>
      <c r="F36" s="73" t="n">
        <v>46064</v>
      </c>
      <c r="G36" s="35"/>
      <c r="H36" s="35" t="n">
        <f aca="false">IF(OR(ISBLANK(task_start),ISBLANK(task_end)),"",task_end-task_start+1)</f>
        <v>11</v>
      </c>
      <c r="I36" s="52"/>
      <c r="J36" s="51"/>
      <c r="K36" s="51"/>
      <c r="L36" s="51"/>
      <c r="M36" s="51"/>
      <c r="N36" s="51"/>
      <c r="O36" s="51"/>
      <c r="P36" s="51"/>
      <c r="Q36" s="51"/>
      <c r="R36" s="51"/>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row>
    <row r="37" s="36" customFormat="true" ht="30" hidden="false" customHeight="true" outlineLevel="0" collapsed="false">
      <c r="A37" s="1"/>
      <c r="B37" s="69" t="s">
        <v>53</v>
      </c>
      <c r="C37" s="70"/>
      <c r="D37" s="71" t="n">
        <v>1</v>
      </c>
      <c r="E37" s="73" t="n">
        <v>46054</v>
      </c>
      <c r="F37" s="73" t="n">
        <v>46064</v>
      </c>
      <c r="G37" s="35"/>
      <c r="H37" s="35" t="n">
        <f aca="false">IF(OR(ISBLANK(task_start),ISBLANK(task_end)),"",task_end-task_start+1)</f>
        <v>11</v>
      </c>
      <c r="I37" s="52"/>
      <c r="J37" s="51"/>
      <c r="K37" s="51"/>
      <c r="L37" s="51"/>
      <c r="M37" s="51"/>
      <c r="N37" s="51"/>
      <c r="O37" s="51"/>
      <c r="P37" s="51"/>
      <c r="Q37" s="51"/>
      <c r="R37" s="51"/>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row>
    <row r="38" s="36" customFormat="true" ht="30" hidden="false" customHeight="true" outlineLevel="0" collapsed="false">
      <c r="A38" s="1" t="s">
        <v>54</v>
      </c>
      <c r="B38" s="74"/>
      <c r="C38" s="75"/>
      <c r="D38" s="76"/>
      <c r="E38" s="77"/>
      <c r="F38" s="77"/>
      <c r="G38" s="35"/>
      <c r="H38" s="35" t="str">
        <f aca="false">IF(OR(ISBLANK(task_start),ISBLANK(task_end)),"",task_end-task_start+1)</f>
        <v/>
      </c>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row>
    <row r="39" s="36" customFormat="true" ht="30" hidden="false" customHeight="true" outlineLevel="0" collapsed="false">
      <c r="A39" s="4" t="s">
        <v>55</v>
      </c>
      <c r="B39" s="78" t="s">
        <v>56</v>
      </c>
      <c r="C39" s="79"/>
      <c r="D39" s="80"/>
      <c r="E39" s="81"/>
      <c r="F39" s="82"/>
      <c r="G39" s="83"/>
      <c r="H39" s="83" t="str">
        <f aca="false">IF(OR(ISBLANK(task_start),ISBLANK(task_end)),"",task_end-task_start+1)</f>
        <v/>
      </c>
      <c r="I39" s="84"/>
      <c r="J39" s="84"/>
      <c r="K39" s="84"/>
      <c r="L39" s="84"/>
      <c r="M39" s="84"/>
      <c r="N39" s="84"/>
      <c r="O39" s="84"/>
      <c r="P39" s="84"/>
      <c r="Q39" s="84"/>
      <c r="R39" s="84"/>
      <c r="S39" s="84"/>
      <c r="T39" s="84"/>
      <c r="U39" s="84"/>
      <c r="V39" s="84"/>
      <c r="W39" s="84"/>
      <c r="X39" s="84"/>
      <c r="Y39" s="84"/>
      <c r="Z39" s="84"/>
      <c r="AA39" s="84"/>
      <c r="AB39" s="84"/>
      <c r="AC39" s="84"/>
      <c r="AD39" s="84"/>
      <c r="AE39" s="84"/>
      <c r="AF39" s="84"/>
      <c r="AG39" s="84"/>
      <c r="AH39" s="84"/>
      <c r="AI39" s="84"/>
      <c r="AJ39" s="84"/>
      <c r="AK39" s="84"/>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row>
    <row r="40" customFormat="false" ht="30" hidden="false" customHeight="true" outlineLevel="0" collapsed="false">
      <c r="G40" s="85"/>
    </row>
    <row r="41" customFormat="false" ht="30" hidden="false" customHeight="true" outlineLevel="0" collapsed="false">
      <c r="C41" s="86"/>
      <c r="F41" s="87"/>
    </row>
    <row r="42" customFormat="false" ht="30" hidden="false" customHeight="true" outlineLevel="0" collapsed="false">
      <c r="C42" s="88"/>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11">
    <mergeCell ref="C4:D4"/>
    <mergeCell ref="E4:F4"/>
    <mergeCell ref="C5:D5"/>
    <mergeCell ref="I5:O5"/>
    <mergeCell ref="P5:V5"/>
    <mergeCell ref="W5:AC5"/>
    <mergeCell ref="AD5:AJ5"/>
    <mergeCell ref="AK5:AQ5"/>
    <mergeCell ref="AR5:AX5"/>
    <mergeCell ref="AY5:BE5"/>
    <mergeCell ref="BF5:BL5"/>
  </mergeCells>
  <conditionalFormatting sqref="I30:BL39 I10:BL28">
    <cfRule type="expression" priority="2" aboveAverage="0" equalAverage="0" bottom="0" percent="0" rank="0" text="" dxfId="0">
      <formula>AND($C10=$E$3,task_start&lt;=I$6,ROUNDDOWN((task_end-task_start+1)*task_progress,0)+task_start-1&gt;=I$6)</formula>
    </cfRule>
    <cfRule type="expression" priority="3" aboveAverage="0" equalAverage="0" bottom="0" percent="0" rank="0" text="" dxfId="1">
      <formula>AND($C10=$D$3,task_start&lt;=I$6,ROUNDDOWN((task_end-task_start+1)*task_progress,0)+task_start-1&gt;=I$6)</formula>
    </cfRule>
    <cfRule type="expression" priority="4" aboveAverage="0" equalAverage="0" bottom="0" percent="0" rank="0" text="" dxfId="2">
      <formula>AND($C10=$C$3,task_start&lt;=I$6,ROUNDDOWN((task_end-task_start+1)*task_progress,0)+task_start-1&gt;=I$6)</formula>
    </cfRule>
    <cfRule type="expression" priority="5" aboveAverage="0" equalAverage="0" bottom="0" percent="0" rank="0" text="" dxfId="3">
      <formula>AND($C10=$E$3,task_end&gt;=I$6,task_start&lt;=I$6)</formula>
    </cfRule>
    <cfRule type="expression" priority="6" aboveAverage="0" equalAverage="0" bottom="0" percent="0" rank="0" text="" dxfId="4">
      <formula>AND($C10=$D$3,task_end&gt;=I$6,task_start&lt;=I$6)</formula>
    </cfRule>
  </conditionalFormatting>
  <conditionalFormatting sqref="I30:BL37 I10:BL28">
    <cfRule type="expression" priority="7" aboveAverage="0" equalAverage="0" bottom="0" percent="0" rank="0" text="" dxfId="5">
      <formula>AND($C10=$C$3,task_end&gt;=I$6,task_start&lt;=I$6)</formula>
    </cfRule>
  </conditionalFormatting>
  <conditionalFormatting sqref="D30:D39 D8:D28">
    <cfRule type="dataBar" priority="8">
      <dataBar showValue="1" minLength="10" maxLength="90">
        <cfvo type="num" val="0"/>
        <cfvo type="num" val="1"/>
        <color rgb="FFBFBFBF"/>
      </dataBar>
      <extLst>
        <ext xmlns:x14="http://schemas.microsoft.com/office/spreadsheetml/2009/9/main" uri="{B025F937-C7B1-47D3-B67F-A62EFF666E3E}">
          <x14:id>{4EEE73CF-252E-4726-B754-60689BF514AE}</x14:id>
        </ext>
      </extLst>
    </cfRule>
  </conditionalFormatting>
  <conditionalFormatting sqref="I30:BL39 I8:BL28">
    <cfRule type="expression" priority="9" aboveAverage="0" equalAverage="0" bottom="0" percent="0" rank="0" text="" dxfId="6">
      <formula>AND(task_start&lt;=I$6,ROUNDDOWN((task_end-task_start+1)*task_progress,0)+task_start-1&gt;=I$6)</formula>
    </cfRule>
    <cfRule type="expression" priority="10" aboveAverage="0" equalAverage="0" bottom="0" percent="0" rank="0" text="" dxfId="7">
      <formula>AND(task_end&gt;=I$6,task_start&lt;J$6)</formula>
    </cfRule>
  </conditionalFormatting>
  <conditionalFormatting sqref="I30:BL39 I6:BL28">
    <cfRule type="expression" priority="11" aboveAverage="0" equalAverage="0" bottom="0" percent="0" rank="0" text="" dxfId="8">
      <formula>AND(TODAY()&gt;=I$6,TODAY()&lt;J$6)</formula>
    </cfRule>
  </conditionalFormatting>
  <conditionalFormatting sqref="I29:BL29">
    <cfRule type="expression" priority="12" aboveAverage="0" equalAverage="0" bottom="0" percent="0" rank="0" text="" dxfId="0">
      <formula>AND($C29=$E$3,task_start&lt;=I$6,ROUNDDOWN((task_end-task_start+1)*task_progress,0)+task_start-1&gt;=I$6)</formula>
    </cfRule>
    <cfRule type="expression" priority="13" aboveAverage="0" equalAverage="0" bottom="0" percent="0" rank="0" text="" dxfId="1">
      <formula>AND($C29=$D$3,task_start&lt;=I$6,ROUNDDOWN((task_end-task_start+1)*task_progress,0)+task_start-1&gt;=I$6)</formula>
    </cfRule>
    <cfRule type="expression" priority="14" aboveAverage="0" equalAverage="0" bottom="0" percent="0" rank="0" text="" dxfId="2">
      <formula>AND($C29=$C$3,task_start&lt;=I$6,ROUNDDOWN((task_end-task_start+1)*task_progress,0)+task_start-1&gt;=I$6)</formula>
    </cfRule>
    <cfRule type="expression" priority="15" aboveAverage="0" equalAverage="0" bottom="0" percent="0" rank="0" text="" dxfId="3">
      <formula>AND($C29=$E$3,task_end&gt;=I$6,task_start&lt;=I$6)</formula>
    </cfRule>
    <cfRule type="expression" priority="16" aboveAverage="0" equalAverage="0" bottom="0" percent="0" rank="0" text="" dxfId="4">
      <formula>AND($C29=$D$3,task_end&gt;=I$6,task_start&lt;=I$6)</formula>
    </cfRule>
  </conditionalFormatting>
  <conditionalFormatting sqref="I29:BL29">
    <cfRule type="expression" priority="17" aboveAverage="0" equalAverage="0" bottom="0" percent="0" rank="0" text="" dxfId="5">
      <formula>AND($C29=$C$3,task_end&gt;=I$6,task_start&lt;=I$6)</formula>
    </cfRule>
  </conditionalFormatting>
  <conditionalFormatting sqref="D29">
    <cfRule type="dataBar" priority="18">
      <dataBar showValue="1" minLength="10" maxLength="90">
        <cfvo type="num" val="0"/>
        <cfvo type="num" val="1"/>
        <color rgb="FFBFBFBF"/>
      </dataBar>
      <extLst>
        <ext xmlns:x14="http://schemas.microsoft.com/office/spreadsheetml/2009/9/main" uri="{B025F937-C7B1-47D3-B67F-A62EFF666E3E}">
          <x14:id>{4F65FC90-AE97-457C-B06F-1953BCF47390}</x14:id>
        </ext>
      </extLst>
    </cfRule>
  </conditionalFormatting>
  <conditionalFormatting sqref="I29:BL29">
    <cfRule type="expression" priority="19" aboveAverage="0" equalAverage="0" bottom="0" percent="0" rank="0" text="" dxfId="6">
      <formula>AND(task_start&lt;=I$6,ROUNDDOWN((task_end-task_start+1)*task_progress,0)+task_start-1&gt;=I$6)</formula>
    </cfRule>
    <cfRule type="expression" priority="20" aboveAverage="0" equalAverage="0" bottom="0" percent="0" rank="0" text="" dxfId="7">
      <formula>AND(task_end&gt;=I$6,task_start&lt;J$6)</formula>
    </cfRule>
  </conditionalFormatting>
  <conditionalFormatting sqref="I29:BL29">
    <cfRule type="expression" priority="21" aboveAverage="0" equalAverage="0" bottom="0" percent="0" rank="0" text="" dxfId="8">
      <formula>AND(TODAY()&gt;=I$6,TODAY()&lt;J$6)</formula>
    </cfRule>
  </conditionalFormatting>
  <dataValidations count="2">
    <dataValidation allowBlank="true" errorStyle="stop" operator="greaterThanOrEqual" prompt="Das Ändern dieser Zahl bewirkt ein Scrollen in der Gantt-Diagrammansicht." promptTitle="Woche anzeigen" showDropDown="false" showErrorMessage="false" showInputMessage="true" sqref="E5" type="whole">
      <formula1>1</formula1>
      <formula2>0</formula2>
    </dataValidation>
    <dataValidation allowBlank="true" errorStyle="stop" operator="between" showDropDown="false" showErrorMessage="true" showInputMessage="true" sqref="C10:C23 C25:C29 C31:C34 C36:C37" type="list">
      <formula1>$C$3:$E$3</formula1>
      <formula2>0</formula2>
    </dataValidation>
  </dataValidations>
  <printOptions headings="false" gridLines="false" gridLinesSet="true" horizontalCentered="true" verticalCentered="false"/>
  <pageMargins left="0.35" right="0.35" top="0.35" bottom="0.347222222222222" header="0.511811023622047" footer="0.3"/>
  <pageSetup paperSize="9" scale="100" fitToWidth="1" fitToHeight="0" pageOrder="downThenOver" orientation="landscape" blackAndWhite="false" draft="false" cellComments="none" horizontalDpi="300" verticalDpi="300" copies="1"/>
  <headerFooter differentFirst="true" differentOddEven="false">
    <oddHeader/>
    <oddFooter>&amp;CPage &amp;P of &amp;N</oddFooter>
    <firstHeader/>
    <firstFooter/>
  </headerFooter>
  <extLst>
    <ext xmlns:x14="http://schemas.microsoft.com/office/spreadsheetml/2009/9/main" uri="{78C0D931-6437-407d-A8EE-F0AAD7539E65}">
      <x14:conditionalFormattings>
        <x14:conditionalFormatting xmlns:xm="http://schemas.microsoft.com/office/excel/2006/main">
          <x14:cfRule type="dataBar" id="{4EEE73CF-252E-4726-B754-60689BF514AE}">
            <x14:dataBar minLength="10" maxLength="90" axisPosition="automatic" gradient="false">
              <x14:cfvo type="num">
                <xm:f>0</xm:f>
              </x14:cfvo>
              <x14:cfvo type="num">
                <xm:f>1</xm:f>
              </x14:cfvo>
              <x14:negativeFillColor rgb="FFFF0000"/>
              <x14:axisColor rgb="FF000000"/>
            </x14:dataBar>
          </x14:cfRule>
          <xm:sqref>D30:D39 D8:D28</xm:sqref>
        </x14:conditionalFormatting>
        <x14:conditionalFormatting xmlns:xm="http://schemas.microsoft.com/office/excel/2006/main">
          <x14:cfRule type="dataBar" id="{4F65FC90-AE97-457C-B06F-1953BCF47390}">
            <x14:dataBar minLength="10" maxLength="90" axisPosition="automatic" gradient="false">
              <x14:cfvo type="num">
                <xm:f>0</xm:f>
              </x14:cfvo>
              <x14:cfvo type="num">
                <xm:f>1</xm:f>
              </x14:cfvo>
              <x14:negativeFillColor rgb="FFFF0000"/>
              <x14:axisColor rgb="FF000000"/>
            </x14:dataBar>
          </x14:cfRule>
          <xm:sqref>D29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false" showRowColHeaders="true" showZeros="true" rightToLeft="false" tabSelected="false" showOutlineSymbols="true" defaultGridColor="true" view="normal" topLeftCell="A1" colorId="64" zoomScale="136" zoomScaleNormal="136" zoomScalePageLayoutView="100" workbookViewId="0">
      <selection pane="topLeft" activeCell="A1" activeCellId="0" sqref="A1"/>
    </sheetView>
  </sheetViews>
  <sheetFormatPr defaultColWidth="9.1484375" defaultRowHeight="13.5" customHeight="true" zeroHeight="false" outlineLevelRow="0" outlineLevelCol="0"/>
  <cols>
    <col collapsed="false" customWidth="true" hidden="false" outlineLevel="0" max="1" min="1" style="89" width="87.15"/>
    <col collapsed="false" customWidth="false" hidden="false" outlineLevel="0" max="16384" min="2" style="7" width="9.14"/>
  </cols>
  <sheetData>
    <row r="1" customFormat="false" ht="46.5" hidden="false" customHeight="true" outlineLevel="0" collapsed="false"/>
    <row r="2" s="91" customFormat="true" ht="15" hidden="false" customHeight="false" outlineLevel="0" collapsed="false">
      <c r="A2" s="90" t="s">
        <v>57</v>
      </c>
      <c r="B2" s="90"/>
    </row>
    <row r="3" s="94" customFormat="true" ht="27" hidden="false" customHeight="true" outlineLevel="0" collapsed="false">
      <c r="A3" s="92" t="s">
        <v>58</v>
      </c>
      <c r="B3" s="93"/>
    </row>
    <row r="4" s="96" customFormat="true" ht="24.45" hidden="false" customHeight="false" outlineLevel="0" collapsed="false">
      <c r="A4" s="95" t="s">
        <v>59</v>
      </c>
    </row>
    <row r="5" customFormat="false" ht="73.5" hidden="false" customHeight="true" outlineLevel="0" collapsed="false">
      <c r="A5" s="97" t="s">
        <v>60</v>
      </c>
    </row>
    <row r="6" customFormat="false" ht="26.25" hidden="false" customHeight="true" outlineLevel="0" collapsed="false">
      <c r="A6" s="95" t="s">
        <v>61</v>
      </c>
    </row>
    <row r="7" s="89" customFormat="true" ht="204.75" hidden="false" customHeight="true" outlineLevel="0" collapsed="false">
      <c r="A7" s="98" t="s">
        <v>62</v>
      </c>
    </row>
    <row r="8" s="96" customFormat="true" ht="24.45" hidden="false" customHeight="false" outlineLevel="0" collapsed="false">
      <c r="A8" s="95" t="s">
        <v>63</v>
      </c>
    </row>
    <row r="9" customFormat="false" ht="57.45" hidden="false" customHeight="false" outlineLevel="0" collapsed="false">
      <c r="A9" s="97" t="s">
        <v>64</v>
      </c>
    </row>
    <row r="10" s="89" customFormat="true" ht="27.75" hidden="false" customHeight="true" outlineLevel="0" collapsed="false">
      <c r="A10" s="99" t="s">
        <v>65</v>
      </c>
    </row>
    <row r="11" s="96" customFormat="true" ht="24.45" hidden="false" customHeight="false" outlineLevel="0" collapsed="false">
      <c r="A11" s="95" t="s">
        <v>66</v>
      </c>
    </row>
    <row r="12" customFormat="false" ht="23.85" hidden="false" customHeight="false" outlineLevel="0" collapsed="false">
      <c r="A12" s="97" t="s">
        <v>67</v>
      </c>
    </row>
    <row r="13" s="89" customFormat="true" ht="27.75" hidden="false" customHeight="true" outlineLevel="0" collapsed="false">
      <c r="A13" s="99" t="s">
        <v>68</v>
      </c>
    </row>
    <row r="14" s="96" customFormat="true" ht="24.45" hidden="false" customHeight="false" outlineLevel="0" collapsed="false">
      <c r="A14" s="95" t="s">
        <v>69</v>
      </c>
    </row>
    <row r="15" customFormat="false" ht="75" hidden="false" customHeight="true" outlineLevel="0" collapsed="false">
      <c r="A15" s="97" t="s">
        <v>70</v>
      </c>
    </row>
    <row r="16" customFormat="false" ht="57.45" hidden="false" customHeight="false" outlineLevel="0" collapsed="false">
      <c r="A16" s="97" t="s">
        <v>71</v>
      </c>
    </row>
  </sheetData>
  <hyperlinks>
    <hyperlink ref="A2" r:id="rId1" display="EINFACHES GANTT-DIAGRAMM von Vertex42.com"/>
    <hyperlink ref="A3" r:id="rId2" display="https://www.vertex42.com/ExcelTemplates/simple-gantt-chart.html"/>
    <hyperlink ref="A10" r:id="rId3" display="Verwenden des einfachen Gantt-Diagramms"/>
    <hyperlink ref="A13" r:id="rId4" display="Projektmanagementvorlagen"/>
  </hyperlinks>
  <printOptions headings="false" gridLines="false" gridLinesSet="true" horizontalCentered="false" verticalCentered="false"/>
  <pageMargins left="0.5" right="0.5" top="0.5"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C35C790118F37A43AA4709041DA82F48" ma:contentTypeVersion="3" ma:contentTypeDescription="Ein neues Dokument erstellen." ma:contentTypeScope="" ma:versionID="6510b4db5276a0c12c0572dd5d342458">
  <xsd:schema xmlns:xsd="http://www.w3.org/2001/XMLSchema" xmlns:xs="http://www.w3.org/2001/XMLSchema" xmlns:p="http://schemas.microsoft.com/office/2006/metadata/properties" xmlns:ns2="99db81f1-528b-4d82-aadd-ae552a3ec832" targetNamespace="http://schemas.microsoft.com/office/2006/metadata/properties" ma:root="true" ma:fieldsID="7636c2d9c8744f55b24083e5f327fd32" ns2:_="">
    <xsd:import namespace="99db81f1-528b-4d82-aadd-ae552a3ec832"/>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db81f1-528b-4d82-aadd-ae552a3ec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44944C-1F1D-4162-962A-96F3FC8455D8}"/>
</file>

<file path=customXml/itemProps2.xml><?xml version="1.0" encoding="utf-8"?>
<ds:datastoreItem xmlns:ds="http://schemas.openxmlformats.org/officeDocument/2006/customXml" ds:itemID="{A706324B-F10C-4774-A20A-BD16231AC9E6}"/>
</file>

<file path=customXml/itemProps3.xml><?xml version="1.0" encoding="utf-8"?>
<ds:datastoreItem xmlns:ds="http://schemas.openxmlformats.org/officeDocument/2006/customXml" ds:itemID="{8FE8ED85-58B3-4608-8E91-0433556D50CE}"/>
</file>

<file path=docProps/app.xml><?xml version="1.0" encoding="utf-8"?>
<Properties xmlns="http://schemas.openxmlformats.org/officeDocument/2006/extended-properties" xmlns:vt="http://schemas.openxmlformats.org/officeDocument/2006/docPropsVTypes">
  <Template>TM16400962</Template>
  <TotalTime>105</TotalTime>
  <Application>LibreOffice/26.2.1.2$Windows_X86_64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2021-12-14T20:18:50Z</dcterms:created>
  <dc:creator/>
  <dc:description/>
  <dc:language>de-DE</dc:language>
  <cp:lastModifiedBy/>
  <dcterms:modified xsi:type="dcterms:W3CDTF">2026-03-29T17:21:55Z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0x010100C35C790118F37A43AA4709041DA82F48</vt:lpwstr>
  </property>
</Properties>
</file>